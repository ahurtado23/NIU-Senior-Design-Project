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1728489\Downloads\"/>
    </mc:Choice>
  </mc:AlternateContent>
  <bookViews>
    <workbookView xWindow="0" yWindow="0" windowWidth="21570" windowHeight="8055" firstSheet="1" activeTab="5"/>
  </bookViews>
  <sheets>
    <sheet name="Master Sheet" sheetId="1" r:id="rId1"/>
    <sheet name="Pivots" sheetId="5" r:id="rId2"/>
    <sheet name="Scheduler" sheetId="2" r:id="rId3"/>
    <sheet name="FromTo Matrix" sheetId="3" r:id="rId4"/>
    <sheet name="Sheet5" sheetId="6" r:id="rId5"/>
    <sheet name="category table" sheetId="7" r:id="rId6"/>
  </sheets>
  <calcPr calcId="162913" concurrentCalc="0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E2" i="6"/>
  <c r="F2" i="6"/>
  <c r="G2" i="6"/>
  <c r="H2" i="6"/>
  <c r="I2" i="6"/>
  <c r="J2" i="6"/>
  <c r="K2" i="6"/>
  <c r="L2" i="6"/>
  <c r="A3" i="6"/>
  <c r="B3" i="6"/>
  <c r="C3" i="6"/>
  <c r="D3" i="6"/>
  <c r="E3" i="6"/>
  <c r="F3" i="6"/>
  <c r="G3" i="6"/>
  <c r="H3" i="6"/>
  <c r="I3" i="6"/>
  <c r="J3" i="6"/>
  <c r="K3" i="6"/>
  <c r="L3" i="6"/>
  <c r="A4" i="6"/>
  <c r="B4" i="6"/>
  <c r="C4" i="6"/>
  <c r="D4" i="6"/>
  <c r="E4" i="6"/>
  <c r="F4" i="6"/>
  <c r="G4" i="6"/>
  <c r="H4" i="6"/>
  <c r="I4" i="6"/>
  <c r="J4" i="6"/>
  <c r="K4" i="6"/>
  <c r="L4" i="6"/>
  <c r="A5" i="6"/>
  <c r="B5" i="6"/>
  <c r="C5" i="6"/>
  <c r="D5" i="6"/>
  <c r="E5" i="6"/>
  <c r="F5" i="6"/>
  <c r="G5" i="6"/>
  <c r="H5" i="6"/>
  <c r="I5" i="6"/>
  <c r="J5" i="6"/>
  <c r="K5" i="6"/>
  <c r="L5" i="6"/>
  <c r="A6" i="6"/>
  <c r="B6" i="6"/>
  <c r="C6" i="6"/>
  <c r="D6" i="6"/>
  <c r="E6" i="6"/>
  <c r="F6" i="6"/>
  <c r="G6" i="6"/>
  <c r="H6" i="6"/>
  <c r="I6" i="6"/>
  <c r="J6" i="6"/>
  <c r="K6" i="6"/>
  <c r="L6" i="6"/>
  <c r="A7" i="6"/>
  <c r="B7" i="6"/>
  <c r="C7" i="6"/>
  <c r="D7" i="6"/>
  <c r="E7" i="6"/>
  <c r="F7" i="6"/>
  <c r="G7" i="6"/>
  <c r="H7" i="6"/>
  <c r="I7" i="6"/>
  <c r="J7" i="6"/>
  <c r="K7" i="6"/>
  <c r="L7" i="6"/>
  <c r="A8" i="6"/>
  <c r="B8" i="6"/>
  <c r="C8" i="6"/>
  <c r="D8" i="6"/>
  <c r="E8" i="6"/>
  <c r="F8" i="6"/>
  <c r="G8" i="6"/>
  <c r="H8" i="6"/>
  <c r="I8" i="6"/>
  <c r="J8" i="6"/>
  <c r="K8" i="6"/>
  <c r="L8" i="6"/>
  <c r="A9" i="6"/>
  <c r="B9" i="6"/>
  <c r="C9" i="6"/>
  <c r="D9" i="6"/>
  <c r="E9" i="6"/>
  <c r="F9" i="6"/>
  <c r="G9" i="6"/>
  <c r="H9" i="6"/>
  <c r="I9" i="6"/>
  <c r="J9" i="6"/>
  <c r="K9" i="6"/>
  <c r="L9" i="6"/>
  <c r="A10" i="6"/>
  <c r="B10" i="6"/>
  <c r="C10" i="6"/>
  <c r="D10" i="6"/>
  <c r="E10" i="6"/>
  <c r="F10" i="6"/>
  <c r="G10" i="6"/>
  <c r="H10" i="6"/>
  <c r="I10" i="6"/>
  <c r="J10" i="6"/>
  <c r="K10" i="6"/>
  <c r="L10" i="6"/>
  <c r="A11" i="6"/>
  <c r="B11" i="6"/>
  <c r="C11" i="6"/>
  <c r="D11" i="6"/>
  <c r="E11" i="6"/>
  <c r="F11" i="6"/>
  <c r="G11" i="6"/>
  <c r="H11" i="6"/>
  <c r="I11" i="6"/>
  <c r="J11" i="6"/>
  <c r="K11" i="6"/>
  <c r="L11" i="6"/>
  <c r="A12" i="6"/>
  <c r="B12" i="6"/>
  <c r="C12" i="6"/>
  <c r="D12" i="6"/>
  <c r="E12" i="6"/>
  <c r="F12" i="6"/>
  <c r="G12" i="6"/>
  <c r="H12" i="6"/>
  <c r="I12" i="6"/>
  <c r="J12" i="6"/>
  <c r="K12" i="6"/>
  <c r="L12" i="6"/>
  <c r="B1" i="6"/>
  <c r="C1" i="6"/>
  <c r="D1" i="6"/>
  <c r="E1" i="6"/>
  <c r="F1" i="6"/>
  <c r="G1" i="6"/>
  <c r="H1" i="6"/>
  <c r="I1" i="6"/>
  <c r="J1" i="6"/>
  <c r="K1" i="6"/>
  <c r="L1" i="6"/>
  <c r="A1" i="6"/>
  <c r="B2" i="3"/>
  <c r="C2" i="3"/>
  <c r="D2" i="3"/>
  <c r="E2" i="3"/>
  <c r="F2" i="3"/>
  <c r="G2" i="3"/>
  <c r="H2" i="3"/>
  <c r="I2" i="3"/>
  <c r="J2" i="3"/>
  <c r="K2" i="3"/>
  <c r="L2" i="3"/>
  <c r="M2" i="3"/>
  <c r="B3" i="3"/>
  <c r="C3" i="3"/>
  <c r="D3" i="3"/>
  <c r="E3" i="3"/>
  <c r="F3" i="3"/>
  <c r="G3" i="3"/>
  <c r="H3" i="3"/>
  <c r="I3" i="3"/>
  <c r="J3" i="3"/>
  <c r="K3" i="3"/>
  <c r="L3" i="3"/>
  <c r="M3" i="3"/>
  <c r="B4" i="3"/>
  <c r="C4" i="3"/>
  <c r="D4" i="3"/>
  <c r="E4" i="3"/>
  <c r="F4" i="3"/>
  <c r="G4" i="3"/>
  <c r="H4" i="3"/>
  <c r="I4" i="3"/>
  <c r="J4" i="3"/>
  <c r="K4" i="3"/>
  <c r="L4" i="3"/>
  <c r="M4" i="3"/>
  <c r="B5" i="3"/>
  <c r="C5" i="3"/>
  <c r="D5" i="3"/>
  <c r="E5" i="3"/>
  <c r="F5" i="3"/>
  <c r="G5" i="3"/>
  <c r="H5" i="3"/>
  <c r="I5" i="3"/>
  <c r="J5" i="3"/>
  <c r="K5" i="3"/>
  <c r="L5" i="3"/>
  <c r="M5" i="3"/>
  <c r="B6" i="3"/>
  <c r="C6" i="3"/>
  <c r="D6" i="3"/>
  <c r="E6" i="3"/>
  <c r="F6" i="3"/>
  <c r="G6" i="3"/>
  <c r="H6" i="3"/>
  <c r="I6" i="3"/>
  <c r="J6" i="3"/>
  <c r="K6" i="3"/>
  <c r="L6" i="3"/>
  <c r="M6" i="3"/>
  <c r="B7" i="3"/>
  <c r="C7" i="3"/>
  <c r="D7" i="3"/>
  <c r="E7" i="3"/>
  <c r="F7" i="3"/>
  <c r="G7" i="3"/>
  <c r="H7" i="3"/>
  <c r="I7" i="3"/>
  <c r="J7" i="3"/>
  <c r="K7" i="3"/>
  <c r="L7" i="3"/>
  <c r="M7" i="3"/>
  <c r="B8" i="3"/>
  <c r="C8" i="3"/>
  <c r="D8" i="3"/>
  <c r="E8" i="3"/>
  <c r="F8" i="3"/>
  <c r="G8" i="3"/>
  <c r="H8" i="3"/>
  <c r="I8" i="3"/>
  <c r="J8" i="3"/>
  <c r="K8" i="3"/>
  <c r="L8" i="3"/>
  <c r="M8" i="3"/>
  <c r="B9" i="3"/>
  <c r="C9" i="3"/>
  <c r="D9" i="3"/>
  <c r="E9" i="3"/>
  <c r="F9" i="3"/>
  <c r="G9" i="3"/>
  <c r="H9" i="3"/>
  <c r="I9" i="3"/>
  <c r="J9" i="3"/>
  <c r="K9" i="3"/>
  <c r="L9" i="3"/>
  <c r="M9" i="3"/>
  <c r="B10" i="3"/>
  <c r="C10" i="3"/>
  <c r="D10" i="3"/>
  <c r="E10" i="3"/>
  <c r="F10" i="3"/>
  <c r="G10" i="3"/>
  <c r="H10" i="3"/>
  <c r="I10" i="3"/>
  <c r="J10" i="3"/>
  <c r="K10" i="3"/>
  <c r="L10" i="3"/>
  <c r="M10" i="3"/>
  <c r="B11" i="3"/>
  <c r="C11" i="3"/>
  <c r="D11" i="3"/>
  <c r="E11" i="3"/>
  <c r="F11" i="3"/>
  <c r="G11" i="3"/>
  <c r="H11" i="3"/>
  <c r="I11" i="3"/>
  <c r="J11" i="3"/>
  <c r="K11" i="3"/>
  <c r="L11" i="3"/>
  <c r="M11" i="3"/>
  <c r="B12" i="3"/>
  <c r="C12" i="3"/>
  <c r="D12" i="3"/>
  <c r="E12" i="3"/>
  <c r="F12" i="3"/>
  <c r="G12" i="3"/>
  <c r="H12" i="3"/>
  <c r="I12" i="3"/>
  <c r="J12" i="3"/>
  <c r="K12" i="3"/>
  <c r="L12" i="3"/>
  <c r="M12" i="3"/>
  <c r="B13" i="3"/>
  <c r="C13" i="3"/>
  <c r="D13" i="3"/>
  <c r="E13" i="3"/>
  <c r="F13" i="3"/>
  <c r="G13" i="3"/>
  <c r="H13" i="3"/>
  <c r="I13" i="3"/>
  <c r="J13" i="3"/>
  <c r="K13" i="3"/>
  <c r="L13" i="3"/>
  <c r="M13" i="3"/>
</calcChain>
</file>

<file path=xl/sharedStrings.xml><?xml version="1.0" encoding="utf-8"?>
<sst xmlns="http://schemas.openxmlformats.org/spreadsheetml/2006/main" count="188" uniqueCount="77">
  <si>
    <t>__PowerAppsId__</t>
  </si>
  <si>
    <t>Date</t>
  </si>
  <si>
    <t>Shift</t>
  </si>
  <si>
    <t>From Product</t>
  </si>
  <si>
    <t>To Product</t>
  </si>
  <si>
    <t>From Color</t>
  </si>
  <si>
    <t>To Color</t>
  </si>
  <si>
    <t>From Scheduler Category</t>
  </si>
  <si>
    <t>To Scheduler Category</t>
  </si>
  <si>
    <t>From Width</t>
  </si>
  <si>
    <t>To Width</t>
  </si>
  <si>
    <t>Station 1</t>
  </si>
  <si>
    <t>Station 2</t>
  </si>
  <si>
    <t>Station 3</t>
  </si>
  <si>
    <t>Station 4</t>
  </si>
  <si>
    <t>Change Over E2E</t>
  </si>
  <si>
    <t>bvGHfREXlrg</t>
  </si>
  <si>
    <t>White Dye</t>
  </si>
  <si>
    <t>n/a</t>
  </si>
  <si>
    <t>g2nhrNUW4Pg</t>
  </si>
  <si>
    <t>White Coating</t>
  </si>
  <si>
    <t>Fu52Mavs5XA</t>
  </si>
  <si>
    <t>White Finish</t>
  </si>
  <si>
    <t>sgHgV0vAc2I</t>
  </si>
  <si>
    <t>White Skew</t>
  </si>
  <si>
    <t>7dYyDlz47vg</t>
  </si>
  <si>
    <t>Color Dye</t>
  </si>
  <si>
    <t>Yj3oOysCxNM</t>
  </si>
  <si>
    <t>Color Coating</t>
  </si>
  <si>
    <t>AE9pMaJJH3g</t>
  </si>
  <si>
    <t>Color Finish</t>
  </si>
  <si>
    <t>Mbm5EtkL2zA</t>
  </si>
  <si>
    <t xml:space="preserve">Color Skew </t>
  </si>
  <si>
    <t>Color Skew</t>
  </si>
  <si>
    <t>cRA_VPrua9w</t>
  </si>
  <si>
    <t>Black Dye</t>
  </si>
  <si>
    <t>BgR3voMNHtU</t>
  </si>
  <si>
    <t>Black Coating</t>
  </si>
  <si>
    <t>PoZli29ePWI</t>
  </si>
  <si>
    <t>Black Finish</t>
  </si>
  <si>
    <t>WlAExYBSX0k</t>
  </si>
  <si>
    <t xml:space="preserve">Black Skew </t>
  </si>
  <si>
    <t>Black Skew</t>
  </si>
  <si>
    <t>MsTfdPqibB8</t>
  </si>
  <si>
    <t>2018-04-19</t>
  </si>
  <si>
    <t>2nd</t>
  </si>
  <si>
    <t>RFL0028</t>
  </si>
  <si>
    <t>RFL7814</t>
  </si>
  <si>
    <t>Black</t>
  </si>
  <si>
    <t>White</t>
  </si>
  <si>
    <t>Average of Change Over E2E Cycle Time</t>
  </si>
  <si>
    <t>Total</t>
  </si>
  <si>
    <t xml:space="preserve"> Station 1</t>
  </si>
  <si>
    <t xml:space="preserve"> Station 2</t>
  </si>
  <si>
    <t xml:space="preserve"> Station 3</t>
  </si>
  <si>
    <t xml:space="preserve"> Station 4</t>
  </si>
  <si>
    <t>Sum of Change Over E2E</t>
  </si>
  <si>
    <t>Column Labels</t>
  </si>
  <si>
    <t>Row Labels</t>
  </si>
  <si>
    <t>(blank)</t>
  </si>
  <si>
    <t>Grand Total</t>
  </si>
  <si>
    <t>Running Average Scheduler</t>
  </si>
  <si>
    <t>Average of Change Over E2E</t>
  </si>
  <si>
    <t>From/To</t>
  </si>
  <si>
    <t>macro to refresh pivots</t>
  </si>
  <si>
    <t>copy as values</t>
  </si>
  <si>
    <t>covert to dmatrix X</t>
  </si>
  <si>
    <t>save as case sensitive name</t>
  </si>
  <si>
    <t>upload to google drive</t>
  </si>
  <si>
    <t>Black Dye </t>
  </si>
  <si>
    <t/>
  </si>
  <si>
    <t>Run Macro</t>
  </si>
  <si>
    <t>2018-04-20</t>
  </si>
  <si>
    <t>Mtgdajierb87</t>
  </si>
  <si>
    <t>1st</t>
  </si>
  <si>
    <t xml:space="preserve">RFL1691651 </t>
  </si>
  <si>
    <t>FLO651651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</si>
</sst>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8" fillId="8" borderId="0" applyNumberFormat="0" applyBorder="0" applyAlignment="0" applyProtection="0"/>
  </cellStyleXfs>
  <cellXfs count="66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1" fillId="0" borderId="3" xfId="0" applyNumberFormat="1" applyFont="1" applyFill="1" applyBorder="1" applyAlignment="1" applyProtection="1">
      <alignment horizontal="center" wrapText="1"/>
    </xf>
    <xf numFmtId="0" fontId="1" fillId="0" borderId="2" xfId="0" applyNumberFormat="1" applyFont="1" applyFill="1" applyBorder="1" applyAlignment="1" applyProtection="1">
      <alignment horizontal="center" wrapText="1"/>
    </xf>
    <xf numFmtId="0" fontId="1" fillId="0" borderId="2" xfId="0" applyNumberFormat="1" applyFont="1" applyFill="1" applyBorder="1" applyAlignment="1" applyProtection="1">
      <alignment wrapText="1"/>
    </xf>
    <xf numFmtId="0" fontId="1" fillId="0" borderId="1" xfId="0" applyNumberFormat="1" applyFont="1" applyFill="1" applyBorder="1" applyAlignment="1" applyProtection="1">
      <alignment wrapText="1"/>
    </xf>
    <xf numFmtId="0" fontId="1" fillId="0" borderId="5" xfId="0" applyNumberFormat="1" applyFont="1" applyFill="1" applyBorder="1" applyAlignment="1" applyProtection="1">
      <alignment wrapText="1"/>
    </xf>
    <xf numFmtId="0" fontId="2" fillId="0" borderId="6" xfId="0" applyNumberFormat="1" applyFont="1" applyFill="1" applyBorder="1" applyAlignment="1" applyProtection="1">
      <alignment wrapText="1"/>
    </xf>
    <xf numFmtId="0" fontId="2" fillId="0" borderId="8" xfId="0" applyNumberFormat="1" applyFont="1" applyFill="1" applyBorder="1" applyAlignment="1" applyProtection="1">
      <alignment wrapText="1"/>
    </xf>
    <xf numFmtId="0" fontId="2" fillId="0" borderId="9" xfId="0" applyNumberFormat="1" applyFont="1" applyFill="1" applyBorder="1" applyAlignment="1" applyProtection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1" fontId="0" fillId="0" borderId="13" xfId="0" applyNumberFormat="1" applyBorder="1"/>
    <xf numFmtId="0" fontId="0" fillId="0" borderId="13" xfId="0" applyNumberFormat="1" applyBorder="1"/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NumberFormat="1" applyBorder="1"/>
    <xf numFmtId="0" fontId="0" fillId="0" borderId="21" xfId="0" applyNumberFormat="1" applyBorder="1"/>
    <xf numFmtId="0" fontId="0" fillId="0" borderId="22" xfId="0" applyNumberFormat="1" applyBorder="1"/>
    <xf numFmtId="0" fontId="2" fillId="0" borderId="4" xfId="0" applyNumberFormat="1" applyFont="1" applyFill="1" applyBorder="1" applyAlignment="1" applyProtection="1">
      <alignment wrapText="1"/>
    </xf>
    <xf numFmtId="0" fontId="0" fillId="0" borderId="4" xfId="0" applyBorder="1" applyAlignment="1">
      <alignment horizontal="left"/>
    </xf>
    <xf numFmtId="0" fontId="0" fillId="0" borderId="24" xfId="0" applyNumberFormat="1" applyBorder="1"/>
    <xf numFmtId="0" fontId="0" fillId="0" borderId="25" xfId="0" applyNumberFormat="1" applyBorder="1"/>
    <xf numFmtId="0" fontId="0" fillId="0" borderId="26" xfId="0" applyNumberFormat="1" applyBorder="1"/>
    <xf numFmtId="0" fontId="0" fillId="0" borderId="27" xfId="0" applyNumberFormat="1" applyBorder="1"/>
    <xf numFmtId="0" fontId="0" fillId="0" borderId="28" xfId="0" applyNumberFormat="1" applyBorder="1"/>
    <xf numFmtId="0" fontId="0" fillId="0" borderId="4" xfId="0" pivotButton="1" applyBorder="1"/>
    <xf numFmtId="0" fontId="0" fillId="0" borderId="10" xfId="0" applyBorder="1"/>
    <xf numFmtId="0" fontId="0" fillId="0" borderId="23" xfId="0" applyBorder="1"/>
    <xf numFmtId="0" fontId="0" fillId="0" borderId="11" xfId="0" applyBorder="1"/>
    <xf numFmtId="0" fontId="0" fillId="0" borderId="0" xfId="0" applyNumberFormat="1" applyFill="1" applyAlignment="1" applyProtection="1"/>
    <xf numFmtId="0" fontId="4" fillId="0" borderId="0" xfId="0" applyNumberFormat="1" applyFont="1" applyFill="1" applyAlignment="1" applyProtection="1"/>
    <xf numFmtId="0" fontId="2" fillId="5" borderId="6" xfId="0" applyNumberFormat="1" applyFont="1" applyFill="1" applyBorder="1" applyAlignment="1" applyProtection="1">
      <alignment wrapText="1"/>
    </xf>
    <xf numFmtId="0" fontId="2" fillId="2" borderId="9" xfId="0" applyNumberFormat="1" applyFont="1" applyFill="1" applyBorder="1" applyAlignment="1" applyProtection="1">
      <alignment wrapText="1"/>
    </xf>
    <xf numFmtId="0" fontId="2" fillId="3" borderId="9" xfId="0" applyNumberFormat="1" applyFont="1" applyFill="1" applyBorder="1" applyAlignment="1" applyProtection="1">
      <alignment wrapText="1"/>
    </xf>
    <xf numFmtId="0" fontId="2" fillId="4" borderId="9" xfId="0" applyNumberFormat="1" applyFont="1" applyFill="1" applyBorder="1" applyAlignment="1" applyProtection="1">
      <alignment wrapText="1"/>
    </xf>
    <xf numFmtId="0" fontId="2" fillId="5" borderId="9" xfId="0" applyNumberFormat="1" applyFont="1" applyFill="1" applyBorder="1" applyAlignment="1" applyProtection="1">
      <alignment wrapText="1"/>
    </xf>
    <xf numFmtId="0" fontId="3" fillId="6" borderId="9" xfId="0" applyNumberFormat="1" applyFont="1" applyFill="1" applyBorder="1" applyAlignment="1" applyProtection="1">
      <alignment wrapText="1"/>
    </xf>
    <xf numFmtId="0" fontId="2" fillId="0" borderId="3" xfId="0" applyNumberFormat="1" applyFont="1" applyFill="1" applyBorder="1" applyAlignment="1" applyProtection="1">
      <alignment wrapText="1"/>
    </xf>
    <xf numFmtId="0" fontId="2" fillId="2" borderId="6" xfId="0" applyNumberFormat="1" applyFont="1" applyFill="1" applyBorder="1" applyAlignment="1" applyProtection="1">
      <alignment wrapText="1"/>
    </xf>
    <xf numFmtId="0" fontId="2" fillId="3" borderId="6" xfId="0" applyNumberFormat="1" applyFont="1" applyFill="1" applyBorder="1" applyAlignment="1" applyProtection="1">
      <alignment wrapText="1"/>
    </xf>
    <xf numFmtId="0" fontId="2" fillId="7" borderId="6" xfId="0" applyNumberFormat="1" applyFont="1" applyFill="1" applyBorder="1" applyAlignment="1" applyProtection="1">
      <alignment wrapText="1"/>
    </xf>
    <xf numFmtId="0" fontId="3" fillId="6" borderId="6" xfId="0" applyNumberFormat="1" applyFont="1" applyFill="1" applyBorder="1" applyAlignment="1" applyProtection="1">
      <alignment wrapText="1"/>
    </xf>
    <xf numFmtId="1" fontId="0" fillId="0" borderId="29" xfId="0" applyNumberFormat="1" applyBorder="1"/>
    <xf numFmtId="0" fontId="6" fillId="0" borderId="0" xfId="0" applyFont="1"/>
    <xf numFmtId="0" fontId="0" fillId="0" borderId="12" xfId="0" applyNumberFormat="1" applyBorder="1"/>
    <xf numFmtId="1" fontId="0" fillId="0" borderId="30" xfId="0" applyNumberFormat="1" applyBorder="1"/>
    <xf numFmtId="1" fontId="1" fillId="0" borderId="7" xfId="0" applyNumberFormat="1" applyFont="1" applyFill="1" applyBorder="1" applyAlignment="1" applyProtection="1">
      <alignment wrapText="1"/>
    </xf>
    <xf numFmtId="0" fontId="8" fillId="8" borderId="7" xfId="1" applyNumberFormat="1" applyBorder="1" applyAlignment="1" applyProtection="1">
      <alignment wrapText="1"/>
    </xf>
    <xf numFmtId="0" fontId="8" fillId="8" borderId="2" xfId="1" applyNumberFormat="1" applyBorder="1" applyAlignment="1" applyProtection="1">
      <alignment wrapText="1"/>
    </xf>
    <xf numFmtId="0" fontId="8" fillId="8" borderId="5" xfId="1" applyNumberFormat="1" applyBorder="1" applyAlignment="1" applyProtection="1">
      <alignment wrapText="1"/>
    </xf>
    <xf numFmtId="0" fontId="8" fillId="8" borderId="1" xfId="1" applyNumberFormat="1" applyBorder="1" applyAlignment="1" applyProtection="1">
      <alignment wrapText="1"/>
    </xf>
    <xf numFmtId="0" fontId="8" fillId="9" borderId="5" xfId="1" applyNumberFormat="1" applyFill="1" applyBorder="1" applyAlignment="1" applyProtection="1">
      <alignment wrapText="1"/>
    </xf>
    <xf numFmtId="0" fontId="1" fillId="9" borderId="1" xfId="0" applyNumberFormat="1" applyFont="1" applyFill="1" applyBorder="1" applyAlignment="1" applyProtection="1">
      <alignment wrapText="1"/>
    </xf>
    <xf numFmtId="0" fontId="8" fillId="9" borderId="1" xfId="1" applyNumberFormat="1" applyFill="1" applyBorder="1" applyAlignment="1" applyProtection="1">
      <alignment wrapText="1"/>
    </xf>
    <xf numFmtId="0" fontId="8" fillId="9" borderId="2" xfId="1" applyNumberFormat="1" applyFill="1" applyBorder="1" applyAlignment="1" applyProtection="1">
      <alignment wrapText="1"/>
    </xf>
    <xf numFmtId="0" fontId="5" fillId="0" borderId="10" xfId="0" applyNumberFormat="1" applyFont="1" applyFill="1" applyBorder="1" applyAlignment="1" applyProtection="1">
      <alignment horizontal="center"/>
    </xf>
    <xf numFmtId="0" fontId="5" fillId="0" borderId="23" xfId="0" applyNumberFormat="1" applyFont="1" applyFill="1" applyBorder="1" applyAlignment="1" applyProtection="1">
      <alignment horizontal="center"/>
    </xf>
    <xf numFmtId="0" fontId="5" fillId="0" borderId="8" xfId="0" applyNumberFormat="1" applyFont="1" applyFill="1" applyBorder="1" applyAlignment="1" applyProtection="1">
      <alignment horizontal="center"/>
    </xf>
    <xf numFmtId="0" fontId="0" fillId="0" borderId="13" xfId="0" applyBorder="1" applyAlignment="1">
      <alignment horizontal="center"/>
    </xf>
  </cellXfs>
  <cellStyles count="2">
    <cellStyle name="Neutral" xfId="1" builtinId="28"/>
    <cellStyle name="Normal" xfId="0" builtinId="0"/>
  </cellStyles>
  <dxfs count="51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alignment wrapText="1" readingOrder="0"/>
    </dxf>
    <dxf>
      <alignment wrapText="1" readingOrder="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[Range II Changeover Data Collection.xlsm]Pivots!AVGs By Station</c:name>
    <c:fmtId val="3"/>
  </c:pivotSource>
  <c:chart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Pivots!$D$5</c:f>
              <c:strCache>
                <c:ptCount val="1"/>
                <c:pt idx="0">
                  <c:v> Station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Pivots!$D$6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B-470A-AB6D-AB8C93010D7F}"/>
            </c:ext>
          </c:extLst>
        </c:ser>
        <c:ser>
          <c:idx val="1"/>
          <c:order val="1"/>
          <c:tx>
            <c:strRef>
              <c:f>Pivots!$E$5</c:f>
              <c:strCache>
                <c:ptCount val="1"/>
                <c:pt idx="0">
                  <c:v> Station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Pivots!$E$6</c:f>
              <c:numCache>
                <c:formatCode>0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B-470A-AB6D-AB8C93010D7F}"/>
            </c:ext>
          </c:extLst>
        </c:ser>
        <c:ser>
          <c:idx val="2"/>
          <c:order val="2"/>
          <c:tx>
            <c:strRef>
              <c:f>Pivots!$F$5</c:f>
              <c:strCache>
                <c:ptCount val="1"/>
                <c:pt idx="0">
                  <c:v> Station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Pivots!$F$6</c:f>
              <c:numCache>
                <c:formatCode>0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BB-470A-AB6D-AB8C93010D7F}"/>
            </c:ext>
          </c:extLst>
        </c:ser>
        <c:ser>
          <c:idx val="3"/>
          <c:order val="3"/>
          <c:tx>
            <c:strRef>
              <c:f>Pivots!$G$5</c:f>
              <c:strCache>
                <c:ptCount val="1"/>
                <c:pt idx="0">
                  <c:v> Station 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Pivots!$G$6</c:f>
              <c:numCache>
                <c:formatCode>0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BB-470A-AB6D-AB8C93010D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1998208"/>
        <c:axId val="271999456"/>
      </c:barChart>
      <c:catAx>
        <c:axId val="271998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1999456"/>
        <c:crosses val="autoZero"/>
        <c:auto val="1"/>
        <c:lblAlgn val="ctr"/>
        <c:lblOffset val="100"/>
        <c:noMultiLvlLbl val="0"/>
      </c:catAx>
      <c:valAx>
        <c:axId val="2719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[Range II Changeover Data Collection.xlsm]Pivots!PivotTable4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  <c:pivotFmt>
        <c:idx val="3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</c:pivotFmt>
      <c:pivotFmt>
        <c:idx val="5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Pivots!$E$27:$E$28</c:f>
              <c:strCache>
                <c:ptCount val="1"/>
                <c:pt idx="0">
                  <c:v>(blank)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delete val="1"/>
          </c:dLbls>
          <c:cat>
            <c:strRef>
              <c:f>Pivots!$D$29:$D$44</c:f>
              <c:strCache>
                <c:ptCount val="15"/>
                <c:pt idx="0">
                  <c:v>(blank)</c:v>
                </c:pt>
                <c:pt idx="1">
                  <c:v>bvGHfREXlrg</c:v>
                </c:pt>
                <c:pt idx="2">
                  <c:v>g2nhrNUW4Pg</c:v>
                </c:pt>
                <c:pt idx="3">
                  <c:v>Fu52Mavs5XA</c:v>
                </c:pt>
                <c:pt idx="4">
                  <c:v>sgHgV0vAc2I</c:v>
                </c:pt>
                <c:pt idx="5">
                  <c:v>7dYyDlz47vg</c:v>
                </c:pt>
                <c:pt idx="6">
                  <c:v>Yj3oOysCxNM</c:v>
                </c:pt>
                <c:pt idx="7">
                  <c:v>AE9pMaJJH3g</c:v>
                </c:pt>
                <c:pt idx="8">
                  <c:v>Mbm5EtkL2zA</c:v>
                </c:pt>
                <c:pt idx="9">
                  <c:v>cRA_VPrua9w</c:v>
                </c:pt>
                <c:pt idx="10">
                  <c:v>BgR3voMNHtU</c:v>
                </c:pt>
                <c:pt idx="11">
                  <c:v>PoZli29ePWI</c:v>
                </c:pt>
                <c:pt idx="12">
                  <c:v>WlAExYBSX0k</c:v>
                </c:pt>
                <c:pt idx="13">
                  <c:v>MsTfdPqibB8</c:v>
                </c:pt>
                <c:pt idx="14">
                  <c:v>Mtgdajierb87</c:v>
                </c:pt>
              </c:strCache>
            </c:strRef>
          </c:cat>
          <c:val>
            <c:numRef>
              <c:f>Pivots!$E$29:$E$44</c:f>
              <c:numCache>
                <c:formatCode>General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0-403B-B360-A8E62845763D}"/>
            </c:ext>
          </c:extLst>
        </c:ser>
        <c:ser>
          <c:idx val="1"/>
          <c:order val="1"/>
          <c:tx>
            <c:strRef>
              <c:f>Pivots!$F$27:$F$28</c:f>
              <c:strCache>
                <c:ptCount val="1"/>
                <c:pt idx="0">
                  <c:v>2018-04-19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strRef>
              <c:f>Pivots!$D$29:$D$44</c:f>
              <c:strCache>
                <c:ptCount val="15"/>
                <c:pt idx="0">
                  <c:v>(blank)</c:v>
                </c:pt>
                <c:pt idx="1">
                  <c:v>bvGHfREXlrg</c:v>
                </c:pt>
                <c:pt idx="2">
                  <c:v>g2nhrNUW4Pg</c:v>
                </c:pt>
                <c:pt idx="3">
                  <c:v>Fu52Mavs5XA</c:v>
                </c:pt>
                <c:pt idx="4">
                  <c:v>sgHgV0vAc2I</c:v>
                </c:pt>
                <c:pt idx="5">
                  <c:v>7dYyDlz47vg</c:v>
                </c:pt>
                <c:pt idx="6">
                  <c:v>Yj3oOysCxNM</c:v>
                </c:pt>
                <c:pt idx="7">
                  <c:v>AE9pMaJJH3g</c:v>
                </c:pt>
                <c:pt idx="8">
                  <c:v>Mbm5EtkL2zA</c:v>
                </c:pt>
                <c:pt idx="9">
                  <c:v>cRA_VPrua9w</c:v>
                </c:pt>
                <c:pt idx="10">
                  <c:v>BgR3voMNHtU</c:v>
                </c:pt>
                <c:pt idx="11">
                  <c:v>PoZli29ePWI</c:v>
                </c:pt>
                <c:pt idx="12">
                  <c:v>WlAExYBSX0k</c:v>
                </c:pt>
                <c:pt idx="13">
                  <c:v>MsTfdPqibB8</c:v>
                </c:pt>
                <c:pt idx="14">
                  <c:v>Mtgdajierb87</c:v>
                </c:pt>
              </c:strCache>
            </c:strRef>
          </c:cat>
          <c:val>
            <c:numRef>
              <c:f>Pivots!$F$29:$F$44</c:f>
              <c:numCache>
                <c:formatCode>General</c:formatCode>
                <c:ptCount val="15"/>
                <c:pt idx="13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6-4FF1-A0B8-816EBEE3AB8E}"/>
            </c:ext>
          </c:extLst>
        </c:ser>
        <c:ser>
          <c:idx val="2"/>
          <c:order val="2"/>
          <c:tx>
            <c:strRef>
              <c:f>Pivots!$G$27:$G$28</c:f>
              <c:strCache>
                <c:ptCount val="1"/>
                <c:pt idx="0">
                  <c:v>2018-04-20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dLbls>
            <c:delete val="1"/>
          </c:dLbls>
          <c:cat>
            <c:strRef>
              <c:f>Pivots!$D$29:$D$44</c:f>
              <c:strCache>
                <c:ptCount val="15"/>
                <c:pt idx="0">
                  <c:v>(blank)</c:v>
                </c:pt>
                <c:pt idx="1">
                  <c:v>bvGHfREXlrg</c:v>
                </c:pt>
                <c:pt idx="2">
                  <c:v>g2nhrNUW4Pg</c:v>
                </c:pt>
                <c:pt idx="3">
                  <c:v>Fu52Mavs5XA</c:v>
                </c:pt>
                <c:pt idx="4">
                  <c:v>sgHgV0vAc2I</c:v>
                </c:pt>
                <c:pt idx="5">
                  <c:v>7dYyDlz47vg</c:v>
                </c:pt>
                <c:pt idx="6">
                  <c:v>Yj3oOysCxNM</c:v>
                </c:pt>
                <c:pt idx="7">
                  <c:v>AE9pMaJJH3g</c:v>
                </c:pt>
                <c:pt idx="8">
                  <c:v>Mbm5EtkL2zA</c:v>
                </c:pt>
                <c:pt idx="9">
                  <c:v>cRA_VPrua9w</c:v>
                </c:pt>
                <c:pt idx="10">
                  <c:v>BgR3voMNHtU</c:v>
                </c:pt>
                <c:pt idx="11">
                  <c:v>PoZli29ePWI</c:v>
                </c:pt>
                <c:pt idx="12">
                  <c:v>WlAExYBSX0k</c:v>
                </c:pt>
                <c:pt idx="13">
                  <c:v>MsTfdPqibB8</c:v>
                </c:pt>
                <c:pt idx="14">
                  <c:v>Mtgdajierb87</c:v>
                </c:pt>
              </c:strCache>
            </c:strRef>
          </c:cat>
          <c:val>
            <c:numRef>
              <c:f>Pivots!$G$29:$G$44</c:f>
              <c:numCache>
                <c:formatCode>General</c:formatCode>
                <c:ptCount val="15"/>
                <c:pt idx="1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3-4F15-A2E3-A4B7865BD3E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298813984"/>
        <c:axId val="298813152"/>
      </c:lineChart>
      <c:catAx>
        <c:axId val="29881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813152"/>
        <c:crosses val="autoZero"/>
        <c:auto val="1"/>
        <c:lblAlgn val="ctr"/>
        <c:lblOffset val="100"/>
        <c:noMultiLvlLbl val="0"/>
      </c:catAx>
      <c:valAx>
        <c:axId val="29881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81398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130175</xdr:colOff>
      <xdr:row>3</xdr:row>
      <xdr:rowOff>187325</xdr:rowOff>
    </xdr:from>
    <xdr:to>
      <xdr:col>13</xdr:col>
      <xdr:colOff>130175</xdr:colOff>
      <xdr:row>22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17462</xdr:colOff>
      <xdr:row>31</xdr:row>
      <xdr:rowOff>33336</xdr:rowOff>
    </xdr:from>
    <xdr:to>
      <xdr:col>13</xdr:col>
      <xdr:colOff>450850</xdr:colOff>
      <xdr:row>50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523875</xdr:colOff>
          <xdr:row>1</xdr:row>
          <xdr:rowOff>152400</xdr:rowOff>
        </xdr:from>
        <xdr:to>
          <xdr:col>16</xdr:col>
          <xdr:colOff>333375</xdr:colOff>
          <xdr:row>3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1728489" refreshedDate="43210.754446527775" createdVersion="6" refreshedVersion="6" minRefreshableVersion="3" recordCount="15">
  <cacheSource type="worksheet">
    <worksheetSource ref="A1:P1048576" sheet="Master Sheet"/>
  </cacheSource>
  <cacheFields count="16">
    <cacheField name="__PowerAppsId__" numFmtId="0">
      <sharedItems containsBlank="1" count="15">
        <s v="bvGHfREXlrg"/>
        <s v="g2nhrNUW4Pg"/>
        <s v="Fu52Mavs5XA"/>
        <s v="sgHgV0vAc2I"/>
        <s v="7dYyDlz47vg"/>
        <s v="Yj3oOysCxNM"/>
        <s v="AE9pMaJJH3g"/>
        <s v="Mbm5EtkL2zA"/>
        <s v="cRA_VPrua9w"/>
        <s v="BgR3voMNHtU"/>
        <s v="PoZli29ePWI"/>
        <s v="WlAExYBSX0k"/>
        <s v="MsTfdPqibB8"/>
        <s v="Mtgdajierb87"/>
        <m/>
      </sharedItems>
    </cacheField>
    <cacheField name="Date" numFmtId="0">
      <sharedItems containsBlank="1" count="3">
        <m/>
        <s v="2018-04-19"/>
        <s v="2018-04-20"/>
      </sharedItems>
    </cacheField>
    <cacheField name="Shift" numFmtId="0">
      <sharedItems containsBlank="1" count="3">
        <m/>
        <s v="2nd"/>
        <s v="1st"/>
      </sharedItems>
    </cacheField>
    <cacheField name="From Product" numFmtId="0">
      <sharedItems containsBlank="1"/>
    </cacheField>
    <cacheField name="To Product" numFmtId="0">
      <sharedItems containsBlank="1"/>
    </cacheField>
    <cacheField name="From Color" numFmtId="0">
      <sharedItems containsBlank="1"/>
    </cacheField>
    <cacheField name="To Color" numFmtId="0">
      <sharedItems containsBlank="1"/>
    </cacheField>
    <cacheField name="From Scheduler Category" numFmtId="0">
      <sharedItems containsBlank="1" count="13">
        <s v="White Dye"/>
        <s v="White Coating"/>
        <s v="White Finish"/>
        <s v="White Skew"/>
        <s v="Color Dye"/>
        <s v="Color Coating"/>
        <s v="Color Finish"/>
        <s v="Color Skew "/>
        <s v="Black Dye"/>
        <s v="Black Coating"/>
        <s v="Black Finish"/>
        <s v="Black Skew "/>
        <m/>
      </sharedItems>
    </cacheField>
    <cacheField name="To Scheduler Category" numFmtId="0">
      <sharedItems containsBlank="1" count="13">
        <s v="White Dye"/>
        <s v="White Coating"/>
        <s v="White Finish"/>
        <s v="White Skew"/>
        <s v="Color Dye"/>
        <s v="Color Coating"/>
        <s v="Color Finish"/>
        <s v="Color Skew"/>
        <s v="Black Dye"/>
        <s v="Black Coating"/>
        <s v="Black Finish"/>
        <s v="Black Skew"/>
        <m/>
      </sharedItems>
    </cacheField>
    <cacheField name="From Width" numFmtId="0">
      <sharedItems containsString="0" containsBlank="1" containsNumber="1" minValue="62.5" maxValue="62.5"/>
    </cacheField>
    <cacheField name="To Width" numFmtId="0">
      <sharedItems containsString="0" containsBlank="1" containsNumber="1" minValue="62.5" maxValue="62.5"/>
    </cacheField>
    <cacheField name="Station 1" numFmtId="0">
      <sharedItems containsString="0" containsBlank="1" containsNumber="1" containsInteger="1" minValue="10" maxValue="10"/>
    </cacheField>
    <cacheField name="Station 2" numFmtId="0">
      <sharedItems containsString="0" containsBlank="1" containsNumber="1" containsInteger="1" minValue="10" maxValue="52"/>
    </cacheField>
    <cacheField name="Station 3" numFmtId="0">
      <sharedItems containsString="0" containsBlank="1" containsNumber="1" containsInteger="1" minValue="20" maxValue="30"/>
    </cacheField>
    <cacheField name="Station 4" numFmtId="0">
      <sharedItems containsString="0" containsBlank="1" containsNumber="1" containsInteger="1" minValue="10" maxValue="40"/>
    </cacheField>
    <cacheField name="Change Over E2E" numFmtId="0">
      <sharedItems containsBlank="1" containsMixedTypes="1" containsNumber="1" containsInteger="1" minValue="60" maxValue="1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x v="0"/>
    <m/>
    <m/>
    <m/>
    <m/>
    <x v="0"/>
    <x v="0"/>
    <m/>
    <m/>
    <m/>
    <m/>
    <m/>
    <m/>
    <s v="n/a"/>
  </r>
  <r>
    <x v="1"/>
    <x v="0"/>
    <x v="0"/>
    <m/>
    <m/>
    <m/>
    <m/>
    <x v="1"/>
    <x v="1"/>
    <m/>
    <m/>
    <m/>
    <m/>
    <m/>
    <m/>
    <s v="n/a"/>
  </r>
  <r>
    <x v="2"/>
    <x v="0"/>
    <x v="0"/>
    <m/>
    <m/>
    <m/>
    <m/>
    <x v="2"/>
    <x v="2"/>
    <m/>
    <m/>
    <m/>
    <m/>
    <m/>
    <m/>
    <s v="n/a"/>
  </r>
  <r>
    <x v="3"/>
    <x v="0"/>
    <x v="0"/>
    <m/>
    <m/>
    <m/>
    <m/>
    <x v="3"/>
    <x v="3"/>
    <m/>
    <m/>
    <m/>
    <m/>
    <m/>
    <m/>
    <s v="n/a"/>
  </r>
  <r>
    <x v="4"/>
    <x v="0"/>
    <x v="0"/>
    <m/>
    <m/>
    <m/>
    <m/>
    <x v="4"/>
    <x v="4"/>
    <m/>
    <m/>
    <m/>
    <m/>
    <m/>
    <m/>
    <s v="n/a"/>
  </r>
  <r>
    <x v="5"/>
    <x v="0"/>
    <x v="0"/>
    <m/>
    <m/>
    <m/>
    <m/>
    <x v="5"/>
    <x v="5"/>
    <m/>
    <m/>
    <m/>
    <m/>
    <m/>
    <m/>
    <s v="n/a"/>
  </r>
  <r>
    <x v="6"/>
    <x v="0"/>
    <x v="0"/>
    <m/>
    <m/>
    <m/>
    <m/>
    <x v="6"/>
    <x v="6"/>
    <m/>
    <m/>
    <m/>
    <m/>
    <m/>
    <m/>
    <s v="n/a"/>
  </r>
  <r>
    <x v="7"/>
    <x v="0"/>
    <x v="0"/>
    <m/>
    <m/>
    <m/>
    <m/>
    <x v="7"/>
    <x v="7"/>
    <m/>
    <m/>
    <m/>
    <m/>
    <m/>
    <m/>
    <s v="n/a"/>
  </r>
  <r>
    <x v="8"/>
    <x v="0"/>
    <x v="0"/>
    <m/>
    <m/>
    <m/>
    <m/>
    <x v="8"/>
    <x v="8"/>
    <m/>
    <m/>
    <m/>
    <m/>
    <m/>
    <m/>
    <s v="n/a"/>
  </r>
  <r>
    <x v="9"/>
    <x v="0"/>
    <x v="0"/>
    <m/>
    <m/>
    <m/>
    <m/>
    <x v="9"/>
    <x v="9"/>
    <m/>
    <m/>
    <m/>
    <m/>
    <m/>
    <m/>
    <s v="n/a"/>
  </r>
  <r>
    <x v="10"/>
    <x v="0"/>
    <x v="0"/>
    <m/>
    <m/>
    <m/>
    <m/>
    <x v="10"/>
    <x v="10"/>
    <m/>
    <m/>
    <m/>
    <m/>
    <m/>
    <m/>
    <s v="n/a"/>
  </r>
  <r>
    <x v="11"/>
    <x v="0"/>
    <x v="0"/>
    <m/>
    <m/>
    <m/>
    <m/>
    <x v="11"/>
    <x v="11"/>
    <m/>
    <m/>
    <m/>
    <m/>
    <m/>
    <m/>
    <s v="n/a"/>
  </r>
  <r>
    <x v="12"/>
    <x v="1"/>
    <x v="1"/>
    <s v="RFL0028"/>
    <s v="RFL7814"/>
    <s v="Black"/>
    <s v="White"/>
    <x v="8"/>
    <x v="1"/>
    <n v="62.5"/>
    <n v="62.5"/>
    <n v="10"/>
    <n v="10"/>
    <n v="30"/>
    <n v="40"/>
    <n v="120"/>
  </r>
  <r>
    <x v="13"/>
    <x v="2"/>
    <x v="2"/>
    <s v="RFL1691651 "/>
    <s v="FLO651651"/>
    <s v="White"/>
    <s v="White"/>
    <x v="0"/>
    <x v="0"/>
    <n v="62.5"/>
    <n v="62.5"/>
    <n v="10"/>
    <n v="52"/>
    <n v="20"/>
    <n v="10"/>
    <n v="60"/>
  </r>
  <r>
    <x v="14"/>
    <x v="0"/>
    <x v="0"/>
    <m/>
    <m/>
    <m/>
    <m/>
    <x v="12"/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AVG E2E C/O Time" cacheId="1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outline="1" outlineData="1" multipleFieldFilters="0" rowHeaderCaption="">
  <location ref="A1:B4" firstHeaderRow="1" firstDataRow="1" firstDataCol="1"/>
  <pivotFields count="16">
    <pivotField showAll="0"/>
    <pivotField showAll="0"/>
    <pivotField axis="axisRow" showAll="0" sortType="ascending" defaultSubtotal="0">
      <items count="3">
        <item x="2"/>
        <item x="1"/>
        <item h="1" x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Average of Change Over E2E Cycle Time" fld="15" subtotal="average" baseField="0" baseItem="0"/>
  </dataFields>
  <formats count="23">
    <format dxfId="35">
      <pivotArea collapsedLevelsAreSubtotals="1" fieldPosition="0">
        <references count="1">
          <reference field="2" count="1">
            <x v="1"/>
          </reference>
        </references>
      </pivotArea>
    </format>
    <format dxfId="34">
      <pivotArea collapsedLevelsAreSubtotals="1" fieldPosition="0">
        <references count="1">
          <reference field="2" count="1">
            <x v="1"/>
          </reference>
        </references>
      </pivotArea>
    </format>
    <format dxfId="33">
      <pivotArea collapsedLevelsAreSubtotals="1" fieldPosition="0">
        <references count="1">
          <reference field="2" count="1">
            <x v="1"/>
          </reference>
        </references>
      </pivotArea>
    </format>
    <format dxfId="32">
      <pivotArea collapsedLevelsAreSubtotals="1" fieldPosition="0">
        <references count="1">
          <reference field="2" count="1">
            <x v="1"/>
          </reference>
        </references>
      </pivotArea>
    </format>
    <format dxfId="31">
      <pivotArea collapsedLevelsAreSubtotals="1" fieldPosition="0">
        <references count="1">
          <reference field="2" count="1">
            <x v="1"/>
          </reference>
        </references>
      </pivotArea>
    </format>
    <format dxfId="30">
      <pivotArea collapsedLevelsAreSubtotals="1" fieldPosition="0">
        <references count="1">
          <reference field="2" count="1">
            <x v="1"/>
          </reference>
        </references>
      </pivotArea>
    </format>
    <format dxfId="29">
      <pivotArea collapsedLevelsAreSubtotals="1" fieldPosition="0">
        <references count="1">
          <reference field="2" count="1">
            <x v="1"/>
          </reference>
        </references>
      </pivotArea>
    </format>
    <format dxfId="28">
      <pivotArea collapsedLevelsAreSubtotals="1" fieldPosition="0">
        <references count="1">
          <reference field="2" count="1">
            <x v="1"/>
          </reference>
        </references>
      </pivotArea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grandRow="1" outline="0" collapsedLevelsAreSubtotals="1" fieldPosition="0"/>
    </format>
    <format dxfId="23">
      <pivotArea grandRow="1" outline="0" collapsedLevelsAreSubtotals="1" fieldPosition="0"/>
    </format>
    <format dxfId="22">
      <pivotArea grandRow="1" outline="0" collapsedLevelsAreSubtotals="1" fieldPosition="0"/>
    </format>
    <format dxfId="21">
      <pivotArea grandRow="1" outline="0" collapsedLevelsAreSubtotals="1" fieldPosition="0"/>
    </format>
    <format dxfId="20">
      <pivotArea grandRow="1" outline="0" collapsedLevelsAreSubtotals="1" fieldPosition="0"/>
    </format>
    <format dxfId="19">
      <pivotArea grandRow="1" outline="0" collapsedLevelsAreSubtotals="1" fieldPosition="0"/>
    </format>
    <format dxfId="18">
      <pivotArea grandRow="1" outline="0" collapsedLevelsAreSubtotals="1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  <format dxfId="1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D27:H44" firstHeaderRow="1" firstDataRow="2" firstDataCol="1"/>
  <pivotFields count="16">
    <pivotField axis="axisRow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Change Over E2E" fld="15" baseField="1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AVGs By Station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D5:G6" firstHeaderRow="0" firstDataRow="1" firstDataCol="0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Station 1" fld="11" subtotal="average" baseField="0" baseItem="1"/>
    <dataField name=" Station 2" fld="12" subtotal="average" baseField="0" baseItem="1"/>
    <dataField name=" Station 3" fld="13" subtotal="average" baseField="0" baseItem="1"/>
    <dataField name=" Station 4" fld="14" subtotal="average" baseField="0" baseItem="1"/>
  </dataFields>
  <formats count="15"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collapsedLevelsAreSubtotals="1" fieldPosition="0"/>
    </format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8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6:T20" firstHeaderRow="1" firstDataRow="2" firstDataCol="1"/>
  <pivotFields count="16"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9"/>
        <item x="8"/>
        <item x="10"/>
        <item x="11"/>
        <item x="5"/>
        <item x="4"/>
        <item x="6"/>
        <item x="7"/>
        <item x="1"/>
        <item x="0"/>
        <item x="2"/>
        <item x="3"/>
        <item h="1" x="12"/>
        <item t="default"/>
      </items>
    </pivotField>
    <pivotField axis="axisCol" showAll="0">
      <items count="14">
        <item x="9"/>
        <item x="8"/>
        <item x="10"/>
        <item x="11"/>
        <item x="5"/>
        <item x="4"/>
        <item x="6"/>
        <item x="7"/>
        <item x="1"/>
        <item x="0"/>
        <item x="2"/>
        <item x="3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8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Average of Change Over E2E" fld="15" subtotal="average" baseField="7" baseItem="2"/>
  </dataFields>
  <formats count="13">
    <format dxfId="12">
      <pivotArea collapsedLevelsAreSubtotals="1" fieldPosition="0">
        <references count="2">
          <reference field="7" count="0"/>
          <reference field="8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1">
      <pivotArea field="7" type="button" dataOnly="0" labelOnly="1" outline="0" axis="axisRow" fieldPosition="0"/>
    </format>
    <format dxfId="10">
      <pivotArea dataOnly="0" labelOnly="1" fieldPosition="0">
        <references count="1">
          <reference field="7" count="0"/>
        </references>
      </pivotArea>
    </format>
    <format dxfId="9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">
      <pivotArea dataOnly="0" labelOnly="1" fieldPosition="0">
        <references count="1">
          <reference field="7" count="0"/>
        </references>
      </pivotArea>
    </format>
    <format dxfId="7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">
      <pivotArea collapsedLevelsAreSubtotals="1" fieldPosition="0">
        <references count="2">
          <reference field="7" count="0"/>
          <reference field="8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">
      <pivotArea type="origin" dataOnly="0" labelOnly="1" outline="0" fieldPosition="0"/>
    </format>
    <format dxfId="4">
      <pivotArea field="8" type="button" dataOnly="0" labelOnly="1" outline="0" axis="axisCol" fieldPosition="0"/>
    </format>
    <format dxfId="3">
      <pivotArea type="topRight" dataOnly="0" labelOnly="1" outline="0" offset="A1:K1" fieldPosition="0"/>
    </format>
    <format dxfId="2">
      <pivotArea field="7" type="button" dataOnly="0" labelOnly="1" outline="0" axis="axisRow" fieldPosition="0"/>
    </format>
    <format dxfId="1">
      <pivotArea dataOnly="0" labelOnly="1" fieldPosition="0">
        <references count="1">
          <reference field="7" count="0"/>
        </references>
      </pivotArea>
    </format>
    <format dxfId="0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2" displayName="Table2" ref="A1:P15" totalsRowShown="0">
  <autoFilter ref="A1:P15"/>
  <tableColumns count="16">
    <tableColumn id="1" name="__PowerAppsId__"/>
    <tableColumn id="2" name="Date"/>
    <tableColumn id="3" name="Shift"/>
    <tableColumn id="4" name="From Product"/>
    <tableColumn id="5" name="To Product"/>
    <tableColumn id="6" name="From Color"/>
    <tableColumn id="7" name="To Color"/>
    <tableColumn id="8" name="From Scheduler Category"/>
    <tableColumn id="9" name="To Scheduler Category"/>
    <tableColumn id="10" name="From Width"/>
    <tableColumn id="11" name="To Width"/>
    <tableColumn id="12" name="Station 1"/>
    <tableColumn id="13" name="Station 2"/>
    <tableColumn id="14" name="Station 3"/>
    <tableColumn id="15" name="Station 4"/>
    <tableColumn id="16" name="Change Over E2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P15"/>
  <sheetViews>
    <sheetView workbookViewId="0">
      <selection activeCell="F31" sqref="F31"/>
    </sheetView>
  </sheetViews>
  <sheetFormatPr defaultColWidth="10.28515625" defaultRowHeight="15" x14ac:dyDescent="0.25"/>
  <cols>
    <col min="1" max="1" width="19" style="36" customWidth="1"/>
    <col min="2" max="3" width="9.140625" style="36" customWidth="1"/>
    <col min="4" max="4" width="15.28515625" style="36" customWidth="1"/>
    <col min="5" max="5" width="12.85546875" style="36" customWidth="1"/>
    <col min="6" max="6" width="13.140625" style="36" customWidth="1"/>
    <col min="7" max="7" width="10.7109375" style="36" customWidth="1"/>
    <col min="8" max="8" width="26.28515625" style="36" customWidth="1"/>
    <col min="9" max="9" width="23.85546875" style="36" customWidth="1"/>
    <col min="10" max="10" width="13.42578125" style="36" customWidth="1"/>
    <col min="11" max="11" width="11.140625" style="36" customWidth="1"/>
    <col min="12" max="15" width="11" style="36" customWidth="1"/>
    <col min="16" max="16" width="18.7109375" style="36" customWidth="1"/>
  </cols>
  <sheetData>
    <row r="1" spans="1:16" ht="31.5" customHeight="1" thickBot="1" x14ac:dyDescent="0.3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6" t="s">
        <v>7</v>
      </c>
      <c r="I1" s="6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hidden="1" x14ac:dyDescent="0.25">
      <c r="A2" s="36" t="s">
        <v>16</v>
      </c>
      <c r="H2" s="36" t="s">
        <v>17</v>
      </c>
      <c r="I2" s="36" t="s">
        <v>17</v>
      </c>
      <c r="P2" s="36" t="s">
        <v>18</v>
      </c>
    </row>
    <row r="3" spans="1:16" hidden="1" x14ac:dyDescent="0.25">
      <c r="A3" s="36" t="s">
        <v>19</v>
      </c>
      <c r="H3" s="36" t="s">
        <v>20</v>
      </c>
      <c r="I3" s="36" t="s">
        <v>20</v>
      </c>
      <c r="P3" s="36" t="s">
        <v>18</v>
      </c>
    </row>
    <row r="4" spans="1:16" hidden="1" x14ac:dyDescent="0.25">
      <c r="A4" s="36" t="s">
        <v>21</v>
      </c>
      <c r="H4" s="36" t="s">
        <v>22</v>
      </c>
      <c r="I4" s="36" t="s">
        <v>22</v>
      </c>
      <c r="P4" s="36" t="s">
        <v>18</v>
      </c>
    </row>
    <row r="5" spans="1:16" hidden="1" x14ac:dyDescent="0.25">
      <c r="A5" s="36" t="s">
        <v>23</v>
      </c>
      <c r="H5" s="36" t="s">
        <v>24</v>
      </c>
      <c r="I5" s="36" t="s">
        <v>24</v>
      </c>
      <c r="P5" s="36" t="s">
        <v>18</v>
      </c>
    </row>
    <row r="6" spans="1:16" hidden="1" x14ac:dyDescent="0.25">
      <c r="A6" s="36" t="s">
        <v>25</v>
      </c>
      <c r="H6" s="36" t="s">
        <v>26</v>
      </c>
      <c r="I6" s="36" t="s">
        <v>26</v>
      </c>
      <c r="P6" s="36" t="s">
        <v>18</v>
      </c>
    </row>
    <row r="7" spans="1:16" hidden="1" x14ac:dyDescent="0.25">
      <c r="A7" s="36" t="s">
        <v>27</v>
      </c>
      <c r="H7" s="36" t="s">
        <v>28</v>
      </c>
      <c r="I7" s="36" t="s">
        <v>28</v>
      </c>
      <c r="P7" s="36" t="s">
        <v>18</v>
      </c>
    </row>
    <row r="8" spans="1:16" hidden="1" x14ac:dyDescent="0.25">
      <c r="A8" s="36" t="s">
        <v>29</v>
      </c>
      <c r="H8" s="36" t="s">
        <v>30</v>
      </c>
      <c r="I8" s="36" t="s">
        <v>30</v>
      </c>
      <c r="P8" s="36" t="s">
        <v>18</v>
      </c>
    </row>
    <row r="9" spans="1:16" hidden="1" x14ac:dyDescent="0.25">
      <c r="A9" s="36" t="s">
        <v>31</v>
      </c>
      <c r="F9" s="37"/>
      <c r="H9" s="36" t="s">
        <v>32</v>
      </c>
      <c r="I9" s="36" t="s">
        <v>33</v>
      </c>
      <c r="P9" s="36" t="s">
        <v>18</v>
      </c>
    </row>
    <row r="10" spans="1:16" hidden="1" x14ac:dyDescent="0.25">
      <c r="A10" s="36" t="s">
        <v>34</v>
      </c>
      <c r="H10" s="36" t="s">
        <v>35</v>
      </c>
      <c r="I10" s="36" t="s">
        <v>35</v>
      </c>
      <c r="P10" s="36" t="s">
        <v>18</v>
      </c>
    </row>
    <row r="11" spans="1:16" hidden="1" x14ac:dyDescent="0.25">
      <c r="A11" s="36" t="s">
        <v>36</v>
      </c>
      <c r="H11" s="36" t="s">
        <v>37</v>
      </c>
      <c r="I11" s="36" t="s">
        <v>37</v>
      </c>
      <c r="P11" s="36" t="s">
        <v>18</v>
      </c>
    </row>
    <row r="12" spans="1:16" hidden="1" x14ac:dyDescent="0.25">
      <c r="A12" s="36" t="s">
        <v>38</v>
      </c>
      <c r="H12" s="36" t="s">
        <v>39</v>
      </c>
      <c r="I12" s="36" t="s">
        <v>39</v>
      </c>
      <c r="P12" s="36" t="s">
        <v>18</v>
      </c>
    </row>
    <row r="13" spans="1:16" hidden="1" x14ac:dyDescent="0.25">
      <c r="A13" s="36" t="s">
        <v>40</v>
      </c>
      <c r="H13" s="36" t="s">
        <v>41</v>
      </c>
      <c r="I13" s="36" t="s">
        <v>42</v>
      </c>
      <c r="P13" s="36" t="s">
        <v>18</v>
      </c>
    </row>
    <row r="14" spans="1:16" x14ac:dyDescent="0.25">
      <c r="A14" s="36" t="s">
        <v>43</v>
      </c>
      <c r="B14" s="36" t="s">
        <v>44</v>
      </c>
      <c r="C14" s="36" t="s">
        <v>45</v>
      </c>
      <c r="D14" s="36" t="s">
        <v>46</v>
      </c>
      <c r="E14" s="36" t="s">
        <v>47</v>
      </c>
      <c r="F14" s="36" t="s">
        <v>48</v>
      </c>
      <c r="G14" s="36" t="s">
        <v>49</v>
      </c>
      <c r="H14" s="36" t="s">
        <v>35</v>
      </c>
      <c r="I14" s="36" t="s">
        <v>20</v>
      </c>
      <c r="J14" s="36">
        <v>62.5</v>
      </c>
      <c r="K14" s="36">
        <v>62.5</v>
      </c>
      <c r="L14" s="36">
        <v>10</v>
      </c>
      <c r="M14" s="36">
        <v>10</v>
      </c>
      <c r="N14" s="36">
        <v>30</v>
      </c>
      <c r="O14" s="36">
        <v>40</v>
      </c>
      <c r="P14" s="36">
        <v>120</v>
      </c>
    </row>
    <row r="15" spans="1:16" x14ac:dyDescent="0.25">
      <c r="A15" s="36" t="s">
        <v>73</v>
      </c>
      <c r="B15" s="36" t="s">
        <v>72</v>
      </c>
      <c r="C15" s="36" t="s">
        <v>74</v>
      </c>
      <c r="D15" s="36" t="s">
        <v>75</v>
      </c>
      <c r="E15" s="36" t="s">
        <v>76</v>
      </c>
      <c r="F15" s="36" t="s">
        <v>49</v>
      </c>
      <c r="G15" s="36" t="s">
        <v>49</v>
      </c>
      <c r="H15" s="36" t="s">
        <v>17</v>
      </c>
      <c r="I15" s="36" t="s">
        <v>17</v>
      </c>
      <c r="J15" s="36">
        <v>62.5</v>
      </c>
      <c r="K15" s="36">
        <v>62.5</v>
      </c>
      <c r="L15" s="36">
        <v>10</v>
      </c>
      <c r="M15" s="36">
        <v>52</v>
      </c>
      <c r="N15" s="36">
        <v>20</v>
      </c>
      <c r="O15" s="36">
        <v>10</v>
      </c>
      <c r="P15" s="36">
        <v>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P44"/>
  <sheetViews>
    <sheetView workbookViewId="0">
      <selection activeCell="G6" sqref="G6"/>
    </sheetView>
  </sheetViews>
  <sheetFormatPr defaultColWidth="10.28515625" defaultRowHeight="15" x14ac:dyDescent="0.25"/>
  <cols>
    <col min="1" max="1" width="5.42578125" style="36" bestFit="1" customWidth="1"/>
    <col min="2" max="2" width="22.7109375" style="36" bestFit="1" customWidth="1"/>
    <col min="3" max="3" width="9.5703125" style="36" customWidth="1"/>
    <col min="4" max="7" width="9.140625" style="36" customWidth="1"/>
    <col min="8" max="8" width="11.28515625" bestFit="1" customWidth="1"/>
  </cols>
  <sheetData>
    <row r="1" spans="1:16" ht="30.75" thickBot="1" x14ac:dyDescent="0.3">
      <c r="A1" s="3" t="s">
        <v>70</v>
      </c>
      <c r="B1" s="12" t="s">
        <v>50</v>
      </c>
    </row>
    <row r="2" spans="1:16" ht="15.95" customHeight="1" x14ac:dyDescent="0.25">
      <c r="A2" s="2" t="s">
        <v>74</v>
      </c>
      <c r="B2" s="51">
        <v>60</v>
      </c>
    </row>
    <row r="3" spans="1:16" ht="15.75" thickBot="1" x14ac:dyDescent="0.3">
      <c r="A3" s="2" t="s">
        <v>45</v>
      </c>
      <c r="B3" s="52">
        <v>120</v>
      </c>
    </row>
    <row r="4" spans="1:16" ht="15.75" thickBot="1" x14ac:dyDescent="0.3">
      <c r="A4" s="26" t="s">
        <v>51</v>
      </c>
      <c r="B4" s="49">
        <v>90</v>
      </c>
    </row>
    <row r="5" spans="1:16" x14ac:dyDescent="0.25">
      <c r="D5" s="13" t="s">
        <v>52</v>
      </c>
      <c r="E5" s="13" t="s">
        <v>53</v>
      </c>
      <c r="F5" s="13" t="s">
        <v>54</v>
      </c>
      <c r="G5" s="13" t="s">
        <v>55</v>
      </c>
    </row>
    <row r="6" spans="1:16" x14ac:dyDescent="0.25">
      <c r="D6" s="14">
        <v>10</v>
      </c>
      <c r="E6" s="14">
        <v>31</v>
      </c>
      <c r="F6" s="14">
        <v>25</v>
      </c>
      <c r="G6" s="14">
        <v>25</v>
      </c>
      <c r="P6" s="36"/>
    </row>
    <row r="27" spans="4:8" x14ac:dyDescent="0.25">
      <c r="D27" s="3" t="s">
        <v>56</v>
      </c>
      <c r="E27" s="3" t="s">
        <v>57</v>
      </c>
      <c r="F27"/>
      <c r="G27"/>
    </row>
    <row r="28" spans="4:8" x14ac:dyDescent="0.25">
      <c r="D28" s="3" t="s">
        <v>58</v>
      </c>
      <c r="E28" t="s">
        <v>59</v>
      </c>
      <c r="F28" t="s">
        <v>44</v>
      </c>
      <c r="G28" t="s">
        <v>72</v>
      </c>
      <c r="H28" t="s">
        <v>60</v>
      </c>
    </row>
    <row r="29" spans="4:8" x14ac:dyDescent="0.25">
      <c r="D29" s="2" t="s">
        <v>59</v>
      </c>
      <c r="E29" s="1"/>
      <c r="F29" s="1"/>
      <c r="G29" s="1"/>
      <c r="H29" s="1"/>
    </row>
    <row r="30" spans="4:8" x14ac:dyDescent="0.25">
      <c r="D30" s="2" t="s">
        <v>16</v>
      </c>
      <c r="E30" s="1">
        <v>0</v>
      </c>
      <c r="F30" s="1"/>
      <c r="G30" s="1"/>
      <c r="H30" s="1">
        <v>0</v>
      </c>
    </row>
    <row r="31" spans="4:8" x14ac:dyDescent="0.25">
      <c r="D31" s="2" t="s">
        <v>19</v>
      </c>
      <c r="E31" s="1">
        <v>0</v>
      </c>
      <c r="F31" s="1"/>
      <c r="G31" s="1"/>
      <c r="H31" s="1">
        <v>0</v>
      </c>
    </row>
    <row r="32" spans="4:8" x14ac:dyDescent="0.25">
      <c r="D32" s="2" t="s">
        <v>21</v>
      </c>
      <c r="E32" s="1">
        <v>0</v>
      </c>
      <c r="F32" s="1"/>
      <c r="G32" s="1"/>
      <c r="H32" s="1">
        <v>0</v>
      </c>
    </row>
    <row r="33" spans="4:8" x14ac:dyDescent="0.25">
      <c r="D33" s="2" t="s">
        <v>23</v>
      </c>
      <c r="E33" s="1">
        <v>0</v>
      </c>
      <c r="F33" s="1"/>
      <c r="G33" s="1"/>
      <c r="H33" s="1">
        <v>0</v>
      </c>
    </row>
    <row r="34" spans="4:8" x14ac:dyDescent="0.25">
      <c r="D34" s="2" t="s">
        <v>25</v>
      </c>
      <c r="E34" s="1">
        <v>0</v>
      </c>
      <c r="F34" s="1"/>
      <c r="G34" s="1"/>
      <c r="H34" s="1">
        <v>0</v>
      </c>
    </row>
    <row r="35" spans="4:8" x14ac:dyDescent="0.25">
      <c r="D35" s="2" t="s">
        <v>27</v>
      </c>
      <c r="E35" s="1">
        <v>0</v>
      </c>
      <c r="F35" s="1"/>
      <c r="G35" s="1"/>
      <c r="H35" s="1">
        <v>0</v>
      </c>
    </row>
    <row r="36" spans="4:8" x14ac:dyDescent="0.25">
      <c r="D36" s="2" t="s">
        <v>29</v>
      </c>
      <c r="E36" s="1">
        <v>0</v>
      </c>
      <c r="F36" s="1"/>
      <c r="G36" s="1"/>
      <c r="H36" s="1">
        <v>0</v>
      </c>
    </row>
    <row r="37" spans="4:8" x14ac:dyDescent="0.25">
      <c r="D37" s="2" t="s">
        <v>31</v>
      </c>
      <c r="E37" s="1">
        <v>0</v>
      </c>
      <c r="F37" s="1"/>
      <c r="G37" s="1"/>
      <c r="H37" s="1">
        <v>0</v>
      </c>
    </row>
    <row r="38" spans="4:8" x14ac:dyDescent="0.25">
      <c r="D38" s="2" t="s">
        <v>34</v>
      </c>
      <c r="E38" s="1">
        <v>0</v>
      </c>
      <c r="F38" s="1"/>
      <c r="G38" s="1"/>
      <c r="H38" s="1">
        <v>0</v>
      </c>
    </row>
    <row r="39" spans="4:8" x14ac:dyDescent="0.25">
      <c r="D39" s="2" t="s">
        <v>36</v>
      </c>
      <c r="E39" s="1">
        <v>0</v>
      </c>
      <c r="F39" s="1"/>
      <c r="G39" s="1"/>
      <c r="H39" s="1">
        <v>0</v>
      </c>
    </row>
    <row r="40" spans="4:8" x14ac:dyDescent="0.25">
      <c r="D40" s="2" t="s">
        <v>38</v>
      </c>
      <c r="E40" s="1">
        <v>0</v>
      </c>
      <c r="F40" s="1"/>
      <c r="G40" s="1"/>
      <c r="H40" s="1">
        <v>0</v>
      </c>
    </row>
    <row r="41" spans="4:8" x14ac:dyDescent="0.25">
      <c r="D41" s="2" t="s">
        <v>40</v>
      </c>
      <c r="E41" s="1">
        <v>0</v>
      </c>
      <c r="F41" s="1"/>
      <c r="G41" s="1"/>
      <c r="H41" s="1">
        <v>0</v>
      </c>
    </row>
    <row r="42" spans="4:8" x14ac:dyDescent="0.25">
      <c r="D42" s="2" t="s">
        <v>43</v>
      </c>
      <c r="E42" s="1"/>
      <c r="F42" s="1">
        <v>120</v>
      </c>
      <c r="G42" s="1"/>
      <c r="H42" s="1">
        <v>120</v>
      </c>
    </row>
    <row r="43" spans="4:8" x14ac:dyDescent="0.25">
      <c r="D43" s="2" t="s">
        <v>73</v>
      </c>
      <c r="E43" s="1"/>
      <c r="F43" s="1"/>
      <c r="G43" s="1">
        <v>60</v>
      </c>
      <c r="H43" s="1">
        <v>60</v>
      </c>
    </row>
    <row r="44" spans="4:8" x14ac:dyDescent="0.25">
      <c r="D44" s="2" t="s">
        <v>60</v>
      </c>
      <c r="E44" s="1">
        <v>0</v>
      </c>
      <c r="F44" s="1">
        <v>120</v>
      </c>
      <c r="G44" s="1">
        <v>60</v>
      </c>
      <c r="H44" s="1">
        <v>180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4:U20"/>
  <sheetViews>
    <sheetView topLeftCell="F1" workbookViewId="0">
      <selection activeCell="R29" sqref="R29"/>
    </sheetView>
  </sheetViews>
  <sheetFormatPr defaultColWidth="10.28515625" defaultRowHeight="15" x14ac:dyDescent="0.25"/>
  <cols>
    <col min="1" max="1" width="13" style="36" hidden="1" customWidth="1"/>
    <col min="2" max="2" width="10.140625" style="36" hidden="1" customWidth="1"/>
    <col min="3" max="4" width="9.140625" style="36" hidden="1" customWidth="1"/>
    <col min="5" max="5" width="0" style="36" hidden="1" customWidth="1"/>
    <col min="6" max="6" width="9.5703125" style="36" customWidth="1"/>
    <col min="7" max="7" width="26.28515625" style="36" bestFit="1" customWidth="1"/>
    <col min="8" max="8" width="16.140625" style="36" bestFit="1" customWidth="1"/>
    <col min="9" max="9" width="9.42578125" style="36" bestFit="1" customWidth="1"/>
    <col min="10" max="10" width="11.28515625" style="36" bestFit="1" customWidth="1"/>
    <col min="11" max="11" width="10.7109375" style="36" bestFit="1" customWidth="1"/>
    <col min="12" max="12" width="12.85546875" style="36" bestFit="1" customWidth="1"/>
    <col min="13" max="13" width="9.5703125" style="36" bestFit="1" customWidth="1"/>
    <col min="14" max="14" width="11.42578125" style="36" bestFit="1" customWidth="1"/>
    <col min="15" max="15" width="10.85546875" style="36" bestFit="1" customWidth="1"/>
    <col min="16" max="16" width="13.85546875" style="36" bestFit="1" customWidth="1"/>
    <col min="17" max="17" width="10.42578125" style="36" bestFit="1" customWidth="1"/>
    <col min="18" max="18" width="12.28515625" style="36" bestFit="1" customWidth="1"/>
    <col min="19" max="19" width="11.7109375" style="36" customWidth="1"/>
    <col min="20" max="20" width="12" style="36" hidden="1" customWidth="1"/>
    <col min="21" max="21" width="11.28515625" style="36" hidden="1" customWidth="1"/>
  </cols>
  <sheetData>
    <row r="4" spans="7:20" ht="15.95" customHeight="1" thickBot="1" x14ac:dyDescent="0.3"/>
    <row r="5" spans="7:20" ht="21.95" customHeight="1" thickBot="1" x14ac:dyDescent="0.4">
      <c r="G5" s="62" t="s">
        <v>61</v>
      </c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4"/>
    </row>
    <row r="6" spans="7:20" ht="15.95" customHeight="1" thickBot="1" x14ac:dyDescent="0.3">
      <c r="G6" s="32" t="s">
        <v>62</v>
      </c>
      <c r="H6" s="32" t="s">
        <v>57</v>
      </c>
      <c r="I6" s="33"/>
      <c r="J6" s="34"/>
      <c r="K6" s="34"/>
      <c r="L6" s="34"/>
      <c r="M6" s="34"/>
      <c r="N6" s="34"/>
      <c r="O6" s="34"/>
      <c r="P6" s="34"/>
      <c r="Q6" s="34"/>
      <c r="R6" s="34"/>
      <c r="S6" s="35"/>
      <c r="T6"/>
    </row>
    <row r="7" spans="7:20" ht="15.95" customHeight="1" thickBot="1" x14ac:dyDescent="0.3">
      <c r="G7" s="32" t="s">
        <v>58</v>
      </c>
      <c r="H7" s="19" t="s">
        <v>37</v>
      </c>
      <c r="I7" s="20" t="s">
        <v>35</v>
      </c>
      <c r="J7" s="20" t="s">
        <v>39</v>
      </c>
      <c r="K7" s="20" t="s">
        <v>42</v>
      </c>
      <c r="L7" s="20" t="s">
        <v>28</v>
      </c>
      <c r="M7" s="20" t="s">
        <v>26</v>
      </c>
      <c r="N7" s="20" t="s">
        <v>30</v>
      </c>
      <c r="O7" s="20" t="s">
        <v>33</v>
      </c>
      <c r="P7" s="20" t="s">
        <v>20</v>
      </c>
      <c r="Q7" s="20" t="s">
        <v>17</v>
      </c>
      <c r="R7" s="20" t="s">
        <v>22</v>
      </c>
      <c r="S7" s="21" t="s">
        <v>24</v>
      </c>
      <c r="T7" t="s">
        <v>60</v>
      </c>
    </row>
    <row r="8" spans="7:20" x14ac:dyDescent="0.25">
      <c r="G8" s="16" t="s">
        <v>37</v>
      </c>
      <c r="H8" s="27" t="e">
        <v>#DIV/0!</v>
      </c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  <c r="T8" s="1" t="e">
        <v>#DIV/0!</v>
      </c>
    </row>
    <row r="9" spans="7:20" x14ac:dyDescent="0.25">
      <c r="G9" s="17" t="s">
        <v>35</v>
      </c>
      <c r="H9" s="30"/>
      <c r="I9" s="15" t="e">
        <v>#DIV/0!</v>
      </c>
      <c r="J9" s="15"/>
      <c r="K9" s="15"/>
      <c r="L9" s="15"/>
      <c r="M9" s="15"/>
      <c r="N9" s="15"/>
      <c r="O9" s="15"/>
      <c r="P9" s="15">
        <v>120</v>
      </c>
      <c r="Q9" s="15"/>
      <c r="R9" s="15"/>
      <c r="S9" s="22"/>
      <c r="T9" s="1">
        <v>120</v>
      </c>
    </row>
    <row r="10" spans="7:20" ht="15.75" customHeight="1" x14ac:dyDescent="0.25">
      <c r="G10" s="17" t="s">
        <v>39</v>
      </c>
      <c r="H10" s="30"/>
      <c r="I10" s="15"/>
      <c r="J10" s="15" t="e">
        <v>#DIV/0!</v>
      </c>
      <c r="K10" s="15"/>
      <c r="L10" s="15"/>
      <c r="M10" s="15"/>
      <c r="N10" s="15"/>
      <c r="O10" s="15"/>
      <c r="P10" s="15"/>
      <c r="Q10" s="15"/>
      <c r="R10" s="15"/>
      <c r="S10" s="22"/>
      <c r="T10" s="1" t="e">
        <v>#DIV/0!</v>
      </c>
    </row>
    <row r="11" spans="7:20" x14ac:dyDescent="0.25">
      <c r="G11" s="17" t="s">
        <v>41</v>
      </c>
      <c r="H11" s="30"/>
      <c r="I11" s="15"/>
      <c r="J11" s="15"/>
      <c r="K11" s="15" t="e">
        <v>#DIV/0!</v>
      </c>
      <c r="L11" s="15"/>
      <c r="M11" s="15"/>
      <c r="N11" s="15"/>
      <c r="O11" s="15"/>
      <c r="P11" s="15"/>
      <c r="Q11" s="15"/>
      <c r="R11" s="15"/>
      <c r="S11" s="22"/>
      <c r="T11" s="1" t="e">
        <v>#DIV/0!</v>
      </c>
    </row>
    <row r="12" spans="7:20" x14ac:dyDescent="0.25">
      <c r="G12" s="17" t="s">
        <v>28</v>
      </c>
      <c r="H12" s="30"/>
      <c r="I12" s="15"/>
      <c r="J12" s="15"/>
      <c r="K12" s="15"/>
      <c r="L12" s="15" t="e">
        <v>#DIV/0!</v>
      </c>
      <c r="M12" s="15"/>
      <c r="N12" s="15"/>
      <c r="O12" s="15"/>
      <c r="P12" s="15"/>
      <c r="Q12" s="15"/>
      <c r="R12" s="15"/>
      <c r="S12" s="22"/>
      <c r="T12" s="1" t="e">
        <v>#DIV/0!</v>
      </c>
    </row>
    <row r="13" spans="7:20" x14ac:dyDescent="0.25">
      <c r="G13" s="17" t="s">
        <v>26</v>
      </c>
      <c r="H13" s="30"/>
      <c r="I13" s="15"/>
      <c r="J13" s="15"/>
      <c r="K13" s="15"/>
      <c r="L13" s="15"/>
      <c r="M13" s="15" t="e">
        <v>#DIV/0!</v>
      </c>
      <c r="N13" s="15"/>
      <c r="O13" s="15"/>
      <c r="P13" s="15"/>
      <c r="Q13" s="15"/>
      <c r="R13" s="15"/>
      <c r="S13" s="22"/>
      <c r="T13" s="1" t="e">
        <v>#DIV/0!</v>
      </c>
    </row>
    <row r="14" spans="7:20" x14ac:dyDescent="0.25">
      <c r="G14" s="17" t="s">
        <v>30</v>
      </c>
      <c r="H14" s="30"/>
      <c r="I14" s="15"/>
      <c r="J14" s="15"/>
      <c r="K14" s="15"/>
      <c r="L14" s="15"/>
      <c r="M14" s="15"/>
      <c r="N14" s="15" t="e">
        <v>#DIV/0!</v>
      </c>
      <c r="O14" s="15"/>
      <c r="P14" s="15"/>
      <c r="Q14" s="15"/>
      <c r="R14" s="15"/>
      <c r="S14" s="22"/>
      <c r="T14" s="1" t="e">
        <v>#DIV/0!</v>
      </c>
    </row>
    <row r="15" spans="7:20" x14ac:dyDescent="0.25">
      <c r="G15" s="17" t="s">
        <v>32</v>
      </c>
      <c r="H15" s="30"/>
      <c r="I15" s="15"/>
      <c r="J15" s="15"/>
      <c r="K15" s="15"/>
      <c r="L15" s="15"/>
      <c r="M15" s="15"/>
      <c r="N15" s="15"/>
      <c r="O15" s="15" t="e">
        <v>#DIV/0!</v>
      </c>
      <c r="P15" s="15"/>
      <c r="Q15" s="15"/>
      <c r="R15" s="15"/>
      <c r="S15" s="22"/>
      <c r="T15" s="1" t="e">
        <v>#DIV/0!</v>
      </c>
    </row>
    <row r="16" spans="7:20" x14ac:dyDescent="0.25">
      <c r="G16" s="17" t="s">
        <v>20</v>
      </c>
      <c r="H16" s="30"/>
      <c r="I16" s="15"/>
      <c r="J16" s="15"/>
      <c r="K16" s="15"/>
      <c r="L16" s="15"/>
      <c r="M16" s="15"/>
      <c r="N16" s="15"/>
      <c r="O16" s="15"/>
      <c r="P16" s="15" t="e">
        <v>#DIV/0!</v>
      </c>
      <c r="Q16" s="15"/>
      <c r="R16" s="15"/>
      <c r="S16" s="22"/>
      <c r="T16" s="1" t="e">
        <v>#DIV/0!</v>
      </c>
    </row>
    <row r="17" spans="7:20" x14ac:dyDescent="0.25">
      <c r="G17" s="17" t="s">
        <v>17</v>
      </c>
      <c r="H17" s="30"/>
      <c r="I17" s="15"/>
      <c r="J17" s="15"/>
      <c r="K17" s="15"/>
      <c r="L17" s="15"/>
      <c r="M17" s="15"/>
      <c r="N17" s="15"/>
      <c r="O17" s="15"/>
      <c r="P17" s="15"/>
      <c r="Q17" s="15">
        <v>60</v>
      </c>
      <c r="R17" s="15"/>
      <c r="S17" s="22"/>
      <c r="T17" s="1">
        <v>60</v>
      </c>
    </row>
    <row r="18" spans="7:20" x14ac:dyDescent="0.25">
      <c r="G18" s="17" t="s">
        <v>22</v>
      </c>
      <c r="H18" s="30"/>
      <c r="I18" s="15"/>
      <c r="J18" s="15"/>
      <c r="K18" s="15"/>
      <c r="L18" s="15"/>
      <c r="M18" s="15"/>
      <c r="N18" s="15"/>
      <c r="O18" s="15"/>
      <c r="P18" s="15"/>
      <c r="Q18" s="15"/>
      <c r="R18" s="15" t="e">
        <v>#DIV/0!</v>
      </c>
      <c r="S18" s="22"/>
      <c r="T18" s="1" t="e">
        <v>#DIV/0!</v>
      </c>
    </row>
    <row r="19" spans="7:20" ht="15.95" customHeight="1" thickBot="1" x14ac:dyDescent="0.3">
      <c r="G19" s="18" t="s">
        <v>24</v>
      </c>
      <c r="H19" s="31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4" t="e">
        <v>#DIV/0!</v>
      </c>
      <c r="T19" s="1" t="e">
        <v>#DIV/0!</v>
      </c>
    </row>
    <row r="20" spans="7:20" hidden="1" x14ac:dyDescent="0.25">
      <c r="G20" s="2" t="s">
        <v>60</v>
      </c>
      <c r="H20" s="1" t="e">
        <v>#DIV/0!</v>
      </c>
      <c r="I20" s="1" t="e">
        <v>#DIV/0!</v>
      </c>
      <c r="J20" s="1" t="e">
        <v>#DIV/0!</v>
      </c>
      <c r="K20" s="1" t="e">
        <v>#DIV/0!</v>
      </c>
      <c r="L20" s="1" t="e">
        <v>#DIV/0!</v>
      </c>
      <c r="M20" s="1" t="e">
        <v>#DIV/0!</v>
      </c>
      <c r="N20" s="1" t="e">
        <v>#DIV/0!</v>
      </c>
      <c r="O20" s="1" t="e">
        <v>#DIV/0!</v>
      </c>
      <c r="P20" s="1">
        <v>120</v>
      </c>
      <c r="Q20" s="1">
        <v>60</v>
      </c>
      <c r="R20" s="1" t="e">
        <v>#DIV/0!</v>
      </c>
      <c r="S20" s="1" t="e">
        <v>#DIV/0!</v>
      </c>
      <c r="T20" s="1">
        <v>90</v>
      </c>
    </row>
  </sheetData>
  <mergeCells count="1">
    <mergeCell ref="G5:S5"/>
  </mergeCell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7030A0"/>
  </sheetPr>
  <dimension ref="A1:R23"/>
  <sheetViews>
    <sheetView workbookViewId="0">
      <selection activeCell="A2" sqref="A2:A13"/>
    </sheetView>
  </sheetViews>
  <sheetFormatPr defaultColWidth="10.28515625" defaultRowHeight="15" x14ac:dyDescent="0.25"/>
  <sheetData>
    <row r="1" spans="1:18" ht="27" customHeight="1" thickBot="1" x14ac:dyDescent="0.3">
      <c r="A1" s="25" t="s">
        <v>63</v>
      </c>
      <c r="B1" s="10" t="s">
        <v>17</v>
      </c>
      <c r="C1" s="11" t="s">
        <v>20</v>
      </c>
      <c r="D1" s="11" t="s">
        <v>22</v>
      </c>
      <c r="E1" s="11" t="s">
        <v>24</v>
      </c>
      <c r="F1" s="39" t="s">
        <v>26</v>
      </c>
      <c r="G1" s="40" t="s">
        <v>28</v>
      </c>
      <c r="H1" s="41" t="s">
        <v>30</v>
      </c>
      <c r="I1" s="42" t="s">
        <v>33</v>
      </c>
      <c r="J1" s="43" t="s">
        <v>35</v>
      </c>
      <c r="K1" s="43" t="s">
        <v>37</v>
      </c>
      <c r="L1" s="43" t="s">
        <v>39</v>
      </c>
      <c r="M1" s="43" t="s">
        <v>42</v>
      </c>
      <c r="R1" s="36" t="s">
        <v>64</v>
      </c>
    </row>
    <row r="2" spans="1:18" ht="27" customHeight="1" thickBot="1" x14ac:dyDescent="0.3">
      <c r="A2" s="44" t="s">
        <v>17</v>
      </c>
      <c r="B2" s="54">
        <f>GETPIVOTDATA("Change Over E2E",Scheduler!$G$6,"From Scheduler Category","White Dye","To Scheduler Category","White Dye")</f>
        <v>60</v>
      </c>
      <c r="C2" s="61">
        <f>GETPIVOTDATA("Change Over E2E",Scheduler!$G$6,"From Scheduler Category","White Dye","To Scheduler Category","White Coating")</f>
        <v>0</v>
      </c>
      <c r="D2" s="61">
        <f>GETPIVOTDATA("Change Over E2E",Scheduler!$G$6,"From Scheduler Category","White Dye","To Scheduler Category","White Finish")</f>
        <v>0</v>
      </c>
      <c r="E2" s="61">
        <f>GETPIVOTDATA("Change Over E2E",Scheduler!$G$6,"From Scheduler Category","White Dye","To Scheduler Category","White Skew")</f>
        <v>0</v>
      </c>
      <c r="F2" s="55">
        <f>GETPIVOTDATA("Change Over E2E",Scheduler!$G$6,"From Scheduler Category","White Dye","To Scheduler Category","Color Dye")</f>
        <v>0</v>
      </c>
      <c r="G2" s="61">
        <f>GETPIVOTDATA("Change Over E2E",Scheduler!$G$6,"From Scheduler Category","White Dye","To Scheduler Category","Color Coating")</f>
        <v>0</v>
      </c>
      <c r="H2" s="61">
        <f>GETPIVOTDATA("Change Over E2E",Scheduler!$G$6,"From Scheduler Category","White Dye","To Scheduler Category","Color Finish")</f>
        <v>0</v>
      </c>
      <c r="I2" s="61">
        <f>GETPIVOTDATA("Change Over E2E",Scheduler!$G$6,"From Scheduler Category","White Dye","To Scheduler Category","Color Skew")</f>
        <v>0</v>
      </c>
      <c r="J2" s="55">
        <f>GETPIVOTDATA("Change Over E2E",Scheduler!$G$6,"From Scheduler Category","White Dye","To Scheduler Category","Black Dye")</f>
        <v>0</v>
      </c>
      <c r="K2" s="61">
        <f>GETPIVOTDATA("Change Over E2E",Scheduler!$G$6,"From Scheduler Category","White Dye","To Scheduler Category","Black Coating")</f>
        <v>0</v>
      </c>
      <c r="L2" s="61">
        <f>GETPIVOTDATA("Change Over E2E",Scheduler!$G$6,"From Scheduler Category","White Dye","To Scheduler Category","Black Finish")</f>
        <v>0</v>
      </c>
      <c r="M2" s="61">
        <f>GETPIVOTDATA("Change Over E2E",Scheduler!$G$6,"From Scheduler Category","White Dye","To Scheduler Category","Black Skew")</f>
        <v>0</v>
      </c>
      <c r="R2" s="36" t="s">
        <v>65</v>
      </c>
    </row>
    <row r="3" spans="1:18" ht="27" customHeight="1" thickBot="1" x14ac:dyDescent="0.3">
      <c r="A3" s="9" t="s">
        <v>20</v>
      </c>
      <c r="B3" s="58">
        <f>GETPIVOTDATA("Change Over E2E",Scheduler!$G$6,"From Scheduler Category","White Coating","To Scheduler Category","White Dye")</f>
        <v>0</v>
      </c>
      <c r="C3" s="59" t="e">
        <f>GETPIVOTDATA("Change Over E2E",Scheduler!$G$6,"From Scheduler Category","White Coating","To Scheduler Category","White Coating")</f>
        <v>#DIV/0!</v>
      </c>
      <c r="D3" s="59">
        <f>GETPIVOTDATA("Change Over E2E",Scheduler!$G$6,"From Scheduler Category","White Coating","To Scheduler Category","White Finish")</f>
        <v>0</v>
      </c>
      <c r="E3" s="59">
        <f>GETPIVOTDATA("Change Over E2E",Scheduler!$G$6,"From Scheduler Category","White Coating","To Scheduler Category","White Skew")</f>
        <v>0</v>
      </c>
      <c r="F3" s="60">
        <f>GETPIVOTDATA("Change Over E2E",Scheduler!$G$6,"From Scheduler Category","White Coating","To Scheduler Category","Color Dye")</f>
        <v>0</v>
      </c>
      <c r="G3" s="59">
        <f>GETPIVOTDATA("Change Over E2E",Scheduler!$G$6,"From Scheduler Category","White Coating","To Scheduler Category","Color Coating")</f>
        <v>0</v>
      </c>
      <c r="H3" s="59">
        <f>GETPIVOTDATA("Change Over E2E",Scheduler!$G$6,"From Scheduler Category","White Coating","To Scheduler Category","Color Finish")</f>
        <v>0</v>
      </c>
      <c r="I3" s="59">
        <f>GETPIVOTDATA("Change Over E2E",Scheduler!$G$6,"From Scheduler Category","White Coating","To Scheduler Category","Color Skew")</f>
        <v>0</v>
      </c>
      <c r="J3" s="60">
        <f>GETPIVOTDATA("Change Over E2E",Scheduler!$G$6,"From Scheduler Category","White Coating","To Scheduler Category","Black Dye")</f>
        <v>0</v>
      </c>
      <c r="K3" s="59">
        <f>GETPIVOTDATA("Change Over E2E",Scheduler!$G$6,"From Scheduler Category","White Coating","To Scheduler Category","Black Coating")</f>
        <v>0</v>
      </c>
      <c r="L3" s="59">
        <f>GETPIVOTDATA("Change Over E2E",Scheduler!$G$6,"From Scheduler Category","White Coating","To Scheduler Category","Black Finish")</f>
        <v>0</v>
      </c>
      <c r="M3" s="59">
        <f>GETPIVOTDATA("Change Over E2E",Scheduler!$G$6,"From Scheduler Category","White Coating","To Scheduler Category","Black Skew")</f>
        <v>0</v>
      </c>
      <c r="R3" s="36" t="s">
        <v>66</v>
      </c>
    </row>
    <row r="4" spans="1:18" ht="27" customHeight="1" thickBot="1" x14ac:dyDescent="0.3">
      <c r="A4" s="9" t="s">
        <v>22</v>
      </c>
      <c r="B4" s="58">
        <f>GETPIVOTDATA("Change Over E2E",Scheduler!$G$6,"From Scheduler Category","White Finish","To Scheduler Category","White Dye")</f>
        <v>0</v>
      </c>
      <c r="C4" s="59">
        <f>GETPIVOTDATA("Change Over E2E",Scheduler!$G$6,"From Scheduler Category","White Finish","To Scheduler Category","White Coating")</f>
        <v>0</v>
      </c>
      <c r="D4" s="59" t="e">
        <f>GETPIVOTDATA("Change Over E2E",Scheduler!$G$6,"From Scheduler Category","White Finish","To Scheduler Category","White Finish")</f>
        <v>#DIV/0!</v>
      </c>
      <c r="E4" s="59">
        <f>GETPIVOTDATA("Change Over E2E",Scheduler!$G$6,"From Scheduler Category","White Finish","To Scheduler Category","White Skew")</f>
        <v>0</v>
      </c>
      <c r="F4" s="60">
        <f>GETPIVOTDATA("Change Over E2E",Scheduler!$G$6,"From Scheduler Category","White Finish","To Scheduler Category","Color Dye")</f>
        <v>0</v>
      </c>
      <c r="G4" s="59">
        <f>GETPIVOTDATA("Change Over E2E",Scheduler!$G$6,"From Scheduler Category","White Finish","To Scheduler Category","Color Coating")</f>
        <v>0</v>
      </c>
      <c r="H4" s="59">
        <f>GETPIVOTDATA("Change Over E2E",Scheduler!$G$6,"From Scheduler Category","White Finish","To Scheduler Category","Color Finish")</f>
        <v>0</v>
      </c>
      <c r="I4" s="59">
        <f>GETPIVOTDATA("Change Over E2E",Scheduler!$G$6,"From Scheduler Category","White Finish","To Scheduler Category","Color Skew")</f>
        <v>0</v>
      </c>
      <c r="J4" s="60">
        <f>GETPIVOTDATA("Change Over E2E",Scheduler!$G$6,"From Scheduler Category","White Finish","To Scheduler Category","Black Dye")</f>
        <v>0</v>
      </c>
      <c r="K4" s="59">
        <f>GETPIVOTDATA("Change Over E2E",Scheduler!$G$6,"From Scheduler Category","White Finish","To Scheduler Category","Black Coating")</f>
        <v>0</v>
      </c>
      <c r="L4" s="59">
        <f>GETPIVOTDATA("Change Over E2E",Scheduler!$G$6,"From Scheduler Category","White Finish","To Scheduler Category","Black Finish")</f>
        <v>0</v>
      </c>
      <c r="M4" s="59">
        <f>GETPIVOTDATA("Change Over E2E",Scheduler!$G$6,"From Scheduler Category","White Coating","To Scheduler Category","Black Skew")</f>
        <v>0</v>
      </c>
      <c r="R4" s="36" t="s">
        <v>67</v>
      </c>
    </row>
    <row r="5" spans="1:18" ht="27" customHeight="1" thickBot="1" x14ac:dyDescent="0.3">
      <c r="A5" s="9" t="s">
        <v>24</v>
      </c>
      <c r="B5" s="58">
        <f>GETPIVOTDATA("Change Over E2E",Scheduler!$G$6,"From Scheduler Category","White Skew","To Scheduler Category","White Dye")</f>
        <v>0</v>
      </c>
      <c r="C5" s="59">
        <f>GETPIVOTDATA("Change Over E2E",Scheduler!$G$6,"From Scheduler Category","White Skew","To Scheduler Category","White Coating")</f>
        <v>0</v>
      </c>
      <c r="D5" s="59">
        <f>GETPIVOTDATA("Change Over E2E",Scheduler!$G$6,"From Scheduler Category","White Skew","To Scheduler Category","White Finish")</f>
        <v>0</v>
      </c>
      <c r="E5" s="59" t="e">
        <f>GETPIVOTDATA("Change Over E2E",Scheduler!$G$6,"From Scheduler Category","White Skew","To Scheduler Category","White Skew")</f>
        <v>#DIV/0!</v>
      </c>
      <c r="F5" s="60">
        <f>GETPIVOTDATA("Change Over E2E",Scheduler!$G$6,"From Scheduler Category","White Skew","To Scheduler Category","Color Dye")</f>
        <v>0</v>
      </c>
      <c r="G5" s="59">
        <f>GETPIVOTDATA("Change Over E2E",Scheduler!$G$6,"From Scheduler Category","White Skew","To Scheduler Category","Color Coating")</f>
        <v>0</v>
      </c>
      <c r="H5" s="59">
        <f>GETPIVOTDATA("Change Over E2E",Scheduler!$G$6,"From Scheduler Category","White Skew","To Scheduler Category","Color Finish")</f>
        <v>0</v>
      </c>
      <c r="I5" s="59">
        <f>GETPIVOTDATA("Change Over E2E",Scheduler!$G$6,"From Scheduler Category","White Skew","To Scheduler Category","Color Skew")</f>
        <v>0</v>
      </c>
      <c r="J5" s="60">
        <f>GETPIVOTDATA("Change Over E2E",Scheduler!$G$6,"From Scheduler Category","White Skew","To Scheduler Category","Black Dye")</f>
        <v>0</v>
      </c>
      <c r="K5" s="59">
        <f>GETPIVOTDATA("Change Over E2E",Scheduler!$G$6,"From Scheduler Category","White Skew","To Scheduler Category","Black Coating")</f>
        <v>0</v>
      </c>
      <c r="L5" s="59">
        <f>GETPIVOTDATA("Change Over E2E",Scheduler!$G$6,"From Scheduler Category","White Skew","To Scheduler Category","Black Finish")</f>
        <v>0</v>
      </c>
      <c r="M5" s="59">
        <f>GETPIVOTDATA("Change Over E2E",Scheduler!$G$6,"From Scheduler Category","White Skew","To Scheduler Category","Black Skew")</f>
        <v>0</v>
      </c>
      <c r="R5" s="36" t="s">
        <v>68</v>
      </c>
    </row>
    <row r="6" spans="1:18" ht="27" customHeight="1" thickBot="1" x14ac:dyDescent="0.3">
      <c r="A6" s="45" t="s">
        <v>26</v>
      </c>
      <c r="B6" s="56">
        <f>GETPIVOTDATA("Change Over E2E",Scheduler!$G$6,"From Scheduler Category","Color Dye","To Scheduler Category","White Dye")</f>
        <v>0</v>
      </c>
      <c r="C6" s="60">
        <f>GETPIVOTDATA("Change Over E2E",Scheduler!$G$6,"From Scheduler Category","Color Dye","To Scheduler Category","White Coating")</f>
        <v>0</v>
      </c>
      <c r="D6" s="60">
        <f>GETPIVOTDATA("Change Over E2E",Scheduler!$G$6,"From Scheduler Category","Color Dye","To Scheduler Category","White Finish")</f>
        <v>0</v>
      </c>
      <c r="E6" s="60">
        <f>GETPIVOTDATA("Change Over E2E",Scheduler!$G$6,"From Scheduler Category","Color Dye","To Scheduler Category","White Skew")</f>
        <v>0</v>
      </c>
      <c r="F6" s="57" t="e">
        <f>GETPIVOTDATA("Change Over E2E",Scheduler!$G$6,"From Scheduler Category","Color Dye","To Scheduler Category","Color Dye")</f>
        <v>#DIV/0!</v>
      </c>
      <c r="G6" s="60">
        <f>GETPIVOTDATA("Change Over E2E",Scheduler!$G$6,"From Scheduler Category","Color Dye","To Scheduler Category","Color Coating")</f>
        <v>0</v>
      </c>
      <c r="H6" s="60">
        <f>GETPIVOTDATA("Change Over E2E",Scheduler!$G$6,"From Scheduler Category","Color Dye","To Scheduler Category","Color Finish")</f>
        <v>0</v>
      </c>
      <c r="I6" s="60">
        <f>GETPIVOTDATA("Change Over E2E",Scheduler!$G$6,"From Scheduler Category","Color Dye","To Scheduler Category","Color Skew")</f>
        <v>0</v>
      </c>
      <c r="J6" s="57">
        <f>GETPIVOTDATA("Change Over E2E",Scheduler!$G$6,"From Scheduler Category","Color Dye","To Scheduler Category","Black Dye")</f>
        <v>0</v>
      </c>
      <c r="K6" s="60">
        <f>GETPIVOTDATA("Change Over E2E",Scheduler!$G$6,"From Scheduler Category","Color Dye","To Scheduler Category","Black Coating")</f>
        <v>0</v>
      </c>
      <c r="L6" s="60">
        <f>GETPIVOTDATA("Change Over E2E",Scheduler!$G$6,"From Scheduler Category","Color Dye","To Scheduler Category","Black Finish")</f>
        <v>0</v>
      </c>
      <c r="M6" s="60">
        <f>GETPIVOTDATA("Change Over E2E",Scheduler!$G$6,"From Scheduler Category","Color Dye","To Scheduler Category","Black Skew")</f>
        <v>0</v>
      </c>
      <c r="P6" s="50" t="s">
        <v>71</v>
      </c>
      <c r="R6" s="50" t="s">
        <v>71</v>
      </c>
    </row>
    <row r="7" spans="1:18" ht="27" customHeight="1" thickBot="1" x14ac:dyDescent="0.3">
      <c r="A7" s="46" t="s">
        <v>28</v>
      </c>
      <c r="B7" s="58">
        <f>GETPIVOTDATA("Change Over E2E",Scheduler!$G$6,"From Scheduler Category","Color Coating","To Scheduler Category","White Dye")</f>
        <v>0</v>
      </c>
      <c r="C7" s="59">
        <f>GETPIVOTDATA("Change Over E2E",Scheduler!$G$6,"From Scheduler Category","Color Coating","To Scheduler Category","White Coating")</f>
        <v>0</v>
      </c>
      <c r="D7" s="59">
        <f>GETPIVOTDATA("Change Over E2E",Scheduler!$G$6,"From Scheduler Category","Color Coating","To Scheduler Category","White Finish")</f>
        <v>0</v>
      </c>
      <c r="E7" s="59">
        <f>GETPIVOTDATA("Change Over E2E",Scheduler!$G$6,"From Scheduler Category","Color Coating","To Scheduler Category","White Skew")</f>
        <v>0</v>
      </c>
      <c r="F7" s="60">
        <f>GETPIVOTDATA("Change Over E2E",Scheduler!$G$6,"From Scheduler Category","Color Coating","To Scheduler Category","Color Dye")</f>
        <v>0</v>
      </c>
      <c r="G7" s="59" t="e">
        <f>GETPIVOTDATA("Change Over E2E",Scheduler!$G$6,"From Scheduler Category","Color Coating","To Scheduler Category","Color Coating")</f>
        <v>#DIV/0!</v>
      </c>
      <c r="H7" s="59">
        <f>GETPIVOTDATA("Change Over E2E",Scheduler!$G$6,"From Scheduler Category","Color Coating","To Scheduler Category","Color Finish")</f>
        <v>0</v>
      </c>
      <c r="I7" s="59">
        <f>GETPIVOTDATA("Change Over E2E",Scheduler!$G$6,"From Scheduler Category","Color Coating","To Scheduler Category","Color Skew")</f>
        <v>0</v>
      </c>
      <c r="J7" s="60">
        <f>GETPIVOTDATA("Change Over E2E",Scheduler!$G$6,"From Scheduler Category","Color Coating","To Scheduler Category","Black Dye")</f>
        <v>0</v>
      </c>
      <c r="K7" s="59">
        <f>GETPIVOTDATA("Change Over E2E",Scheduler!$G$6,"From Scheduler Category","Color Coating","To Scheduler Category","Black Coating")</f>
        <v>0</v>
      </c>
      <c r="L7" s="59">
        <f>GETPIVOTDATA("Change Over E2E",Scheduler!$G$6,"From Scheduler Category","Color Coating","To Scheduler Category","Black Finish")</f>
        <v>0</v>
      </c>
      <c r="M7" s="59">
        <f>GETPIVOTDATA("Change Over E2E",Scheduler!$G$6,"From Scheduler Category","Color Coating","To Scheduler Category","Black Skew")</f>
        <v>0</v>
      </c>
    </row>
    <row r="8" spans="1:18" ht="27" customHeight="1" thickBot="1" x14ac:dyDescent="0.3">
      <c r="A8" s="47" t="s">
        <v>30</v>
      </c>
      <c r="B8" s="58">
        <f>GETPIVOTDATA("Change Over E2E",Scheduler!$G$6,"From Scheduler Category","Color Finish","To Scheduler Category","White Dye")</f>
        <v>0</v>
      </c>
      <c r="C8" s="59">
        <f>GETPIVOTDATA("Change Over E2E",Scheduler!$G$6,"From Scheduler Category","Color Finish","To Scheduler Category","White Coating")</f>
        <v>0</v>
      </c>
      <c r="D8" s="59">
        <f>GETPIVOTDATA("Change Over E2E",Scheduler!$G$6,"From Scheduler Category","Color Finish","To Scheduler Category","White Finish")</f>
        <v>0</v>
      </c>
      <c r="E8" s="59">
        <f>GETPIVOTDATA("Change Over E2E",Scheduler!$G$6,"From Scheduler Category","Color Finish","To Scheduler Category","White Skew")</f>
        <v>0</v>
      </c>
      <c r="F8" s="60">
        <f>GETPIVOTDATA("Change Over E2E",Scheduler!$G$6,"From Scheduler Category","Color Finish","To Scheduler Category","Color Dye")</f>
        <v>0</v>
      </c>
      <c r="G8" s="59">
        <f>GETPIVOTDATA("Change Over E2E",Scheduler!$G$6,"From Scheduler Category","Color Finish","To Scheduler Category","Color Coating")</f>
        <v>0</v>
      </c>
      <c r="H8" s="59" t="e">
        <f>GETPIVOTDATA("Change Over E2E",Scheduler!$G$6,"From Scheduler Category","Color Finish","To Scheduler Category","Color Finish")</f>
        <v>#DIV/0!</v>
      </c>
      <c r="I8" s="59">
        <f>GETPIVOTDATA("Change Over E2E",Scheduler!$G$6,"From Scheduler Category","Color Finish","To Scheduler Category","Color Skew")</f>
        <v>0</v>
      </c>
      <c r="J8" s="60">
        <f>GETPIVOTDATA("Change Over E2E",Scheduler!$G$6,"From Scheduler Category","Color Finish","To Scheduler Category","Black Dye")</f>
        <v>0</v>
      </c>
      <c r="K8" s="59">
        <f>GETPIVOTDATA("Change Over E2E",Scheduler!$G$6,"From Scheduler Category","Color Finish","To Scheduler Category","Black Coating")</f>
        <v>0</v>
      </c>
      <c r="L8" s="59">
        <f>GETPIVOTDATA("Change Over E2E",Scheduler!$G$6,"From Scheduler Category","Color Finish","To Scheduler Category","Black Finish")</f>
        <v>0</v>
      </c>
      <c r="M8" s="59">
        <f>GETPIVOTDATA("Change Over E2E",Scheduler!$G$6,"From Scheduler Category","Color Finish","To Scheduler Category","Black Skew")</f>
        <v>0</v>
      </c>
    </row>
    <row r="9" spans="1:18" ht="27" customHeight="1" thickBot="1" x14ac:dyDescent="0.3">
      <c r="A9" s="38" t="s">
        <v>33</v>
      </c>
      <c r="B9" s="58">
        <f>GETPIVOTDATA("Change Over E2E",Scheduler!$G$6,"From Scheduler Category","Color Skew ","To Scheduler Category","White Dye")</f>
        <v>0</v>
      </c>
      <c r="C9" s="59">
        <f>GETPIVOTDATA("Change Over E2E",Scheduler!$G$6,"From Scheduler Category","Color Skew ","To Scheduler Category","White Coating")</f>
        <v>0</v>
      </c>
      <c r="D9" s="59">
        <f>GETPIVOTDATA("Change Over E2E",Scheduler!$G$6,"From Scheduler Category","Color Skew ","To Scheduler Category","White Finish")</f>
        <v>0</v>
      </c>
      <c r="E9" s="59">
        <f>GETPIVOTDATA("Change Over E2E",Scheduler!$G$6,"From Scheduler Category","Color Skew ","To Scheduler Category","White Skew")</f>
        <v>0</v>
      </c>
      <c r="F9" s="60">
        <f>GETPIVOTDATA("Change Over E2E",Scheduler!$G$6,"From Scheduler Category","Color Skew ","To Scheduler Category","Color Dye")</f>
        <v>0</v>
      </c>
      <c r="G9" s="59">
        <f>GETPIVOTDATA("Change Over E2E",Scheduler!$G$6,"From Scheduler Category","Color Skew ","To Scheduler Category","Color Coating")</f>
        <v>0</v>
      </c>
      <c r="H9" s="59">
        <f>GETPIVOTDATA("Change Over E2E",Scheduler!$G$6,"From Scheduler Category","Color Skew ","To Scheduler Category","Color Finish")</f>
        <v>0</v>
      </c>
      <c r="I9" s="59" t="e">
        <f>GETPIVOTDATA("Change Over E2E",Scheduler!$G$6,"From Scheduler Category","Color Skew ","To Scheduler Category","Color Skew")</f>
        <v>#DIV/0!</v>
      </c>
      <c r="J9" s="60">
        <f>GETPIVOTDATA("Change Over E2E",Scheduler!$G$6,"From Scheduler Category","Color Skew ","To Scheduler Category","Black Dye")</f>
        <v>0</v>
      </c>
      <c r="K9" s="59">
        <f>GETPIVOTDATA("Change Over E2E",Scheduler!$G$6,"From Scheduler Category","Color Skew ","To Scheduler Category","Black Coating")</f>
        <v>0</v>
      </c>
      <c r="L9" s="59">
        <f>GETPIVOTDATA("Change Over E2E",Scheduler!$G$6,"From Scheduler Category","Color Skew ","To Scheduler Category","Black Finish")</f>
        <v>0</v>
      </c>
      <c r="M9" s="59">
        <f>GETPIVOTDATA("Change Over E2E",Scheduler!$G$6,"From Scheduler Category","Color Skew ","To Scheduler Category","Black Skew")</f>
        <v>0</v>
      </c>
      <c r="O9" s="50"/>
      <c r="Q9" s="36"/>
    </row>
    <row r="10" spans="1:18" ht="27" customHeight="1" thickBot="1" x14ac:dyDescent="0.3">
      <c r="A10" s="48" t="s">
        <v>69</v>
      </c>
      <c r="B10" s="56">
        <f>GETPIVOTDATA("Change Over E2E",Scheduler!$G$6,"From Scheduler Category","Black Dye","To Scheduler Category","White Dye")</f>
        <v>0</v>
      </c>
      <c r="C10" s="60">
        <f>GETPIVOTDATA("Change Over E2E",Scheduler!$G$6,"From Scheduler Category","Black Dye","To Scheduler Category","White Coating")</f>
        <v>120</v>
      </c>
      <c r="D10" s="60">
        <f>GETPIVOTDATA("Change Over E2E",Scheduler!$G$6,"From Scheduler Category","Black Dye","To Scheduler Category","White Finish")</f>
        <v>0</v>
      </c>
      <c r="E10" s="60">
        <f>GETPIVOTDATA("Change Over E2E",Scheduler!$G$6,"From Scheduler Category","Black Dye","To Scheduler Category","White Skew")</f>
        <v>0</v>
      </c>
      <c r="F10" s="57">
        <f>GETPIVOTDATA("Change Over E2E",Scheduler!$G$6,"From Scheduler Category","Black Dye","To Scheduler Category","Color Dye")</f>
        <v>0</v>
      </c>
      <c r="G10" s="60">
        <f>GETPIVOTDATA("Change Over E2E",Scheduler!$G$6,"From Scheduler Category","Black Dye","To Scheduler Category","Color Coating")</f>
        <v>0</v>
      </c>
      <c r="H10" s="60">
        <f>GETPIVOTDATA("Change Over E2E",Scheduler!$G$6,"From Scheduler Category","Black Dye","To Scheduler Category","Color Finish")</f>
        <v>0</v>
      </c>
      <c r="I10" s="60">
        <f>GETPIVOTDATA("Change Over E2E",Scheduler!$G$6,"From Scheduler Category","Black Dye","To Scheduler Category","Color Skew")</f>
        <v>0</v>
      </c>
      <c r="J10" s="57" t="e">
        <f>GETPIVOTDATA("Change Over E2E",Scheduler!$G$6,"From Scheduler Category","Black Dye","To Scheduler Category","Black Dye")</f>
        <v>#DIV/0!</v>
      </c>
      <c r="K10" s="60">
        <f>GETPIVOTDATA("Change Over E2E",Scheduler!$G$6,"From Scheduler Category","Black Dye","To Scheduler Category","Black Coating")</f>
        <v>0</v>
      </c>
      <c r="L10" s="60">
        <f>GETPIVOTDATA("Change Over E2E",Scheduler!$G$6,"From Scheduler Category","Black Dye","To Scheduler Category","Black Finish")</f>
        <v>0</v>
      </c>
      <c r="M10" s="60">
        <f>GETPIVOTDATA("Change Over E2E",Scheduler!$G$6,"From Scheduler Category","Black Dye","To Scheduler Category","Black Skew")</f>
        <v>0</v>
      </c>
    </row>
    <row r="11" spans="1:18" ht="27" customHeight="1" thickBot="1" x14ac:dyDescent="0.3">
      <c r="A11" s="48" t="s">
        <v>37</v>
      </c>
      <c r="B11" s="8">
        <f>GETPIVOTDATA("Change Over E2E",Scheduler!$G$6,"From Scheduler Category","Black Coating","To Scheduler Category","White Dye")</f>
        <v>0</v>
      </c>
      <c r="C11" s="59">
        <f>GETPIVOTDATA("Change Over E2E",Scheduler!$G$6,"From Scheduler Category","Black Coating","To Scheduler Category","White Coating")</f>
        <v>0</v>
      </c>
      <c r="D11" s="59">
        <f>GETPIVOTDATA("Change Over E2E",Scheduler!$G$6,"From Scheduler Category","Black Coating","To Scheduler Category","White Finish")</f>
        <v>0</v>
      </c>
      <c r="E11" s="59">
        <f>GETPIVOTDATA("Change Over E2E",Scheduler!$G$6,"From Scheduler Category","Black Coating","To Scheduler Category","White Skew")</f>
        <v>0</v>
      </c>
      <c r="F11" s="7">
        <f>GETPIVOTDATA("Change Over E2E",Scheduler!$G$6,"From Scheduler Category","Black Coating","To Scheduler Category","Color Dye")</f>
        <v>0</v>
      </c>
      <c r="G11" s="59">
        <f>GETPIVOTDATA("Change Over E2E",Scheduler!$G$6,"From Scheduler Category","Black Coating","To Scheduler Category","Color Coating")</f>
        <v>0</v>
      </c>
      <c r="H11" s="59">
        <f>GETPIVOTDATA("Change Over E2E",Scheduler!$G$6,"From Scheduler Category","Black Coating","To Scheduler Category","Color Finish")</f>
        <v>0</v>
      </c>
      <c r="I11" s="59">
        <f>GETPIVOTDATA("Change Over E2E",Scheduler!$G$6,"From Scheduler Category","Black Coating","To Scheduler Category","Color Skew")</f>
        <v>0</v>
      </c>
      <c r="J11" s="7">
        <f>GETPIVOTDATA("Change Over E2E",Scheduler!$G$6,"From Scheduler Category","Black Coating","To Scheduler Category","Black Dye")</f>
        <v>0</v>
      </c>
      <c r="K11" s="59" t="e">
        <f>GETPIVOTDATA("Change Over E2E",Scheduler!$G$6,"From Scheduler Category","Black Coating","To Scheduler Category","Black Coating")</f>
        <v>#DIV/0!</v>
      </c>
      <c r="L11" s="59">
        <f>GETPIVOTDATA("Change Over E2E",Scheduler!$G$6,"From Scheduler Category","Black Coating","To Scheduler Category","Black Finish")</f>
        <v>0</v>
      </c>
      <c r="M11" s="59">
        <f>GETPIVOTDATA("Change Over E2E",Scheduler!$G$6,"From Scheduler Category","Black Coating","To Scheduler Category","Black Skew")</f>
        <v>0</v>
      </c>
    </row>
    <row r="12" spans="1:18" ht="27" customHeight="1" thickBot="1" x14ac:dyDescent="0.3">
      <c r="A12" s="48" t="s">
        <v>39</v>
      </c>
      <c r="B12" s="8">
        <f>GETPIVOTDATA("Change Over E2E",Scheduler!$G$6,"From Scheduler Category","Black Finish","To Scheduler Category","White Dye")</f>
        <v>0</v>
      </c>
      <c r="C12" s="59">
        <f>GETPIVOTDATA("Change Over E2E",Scheduler!$G$6,"From Scheduler Category","Black Finish","To Scheduler Category","White Coating")</f>
        <v>0</v>
      </c>
      <c r="D12" s="59">
        <f>GETPIVOTDATA("Change Over E2E",Scheduler!$G$6,"From Scheduler Category","Black Finish","To Scheduler Category","White Finish")</f>
        <v>0</v>
      </c>
      <c r="E12" s="59">
        <f>GETPIVOTDATA("Change Over E2E",Scheduler!$G$6,"From Scheduler Category","Black Finish","To Scheduler Category","White Skew")</f>
        <v>0</v>
      </c>
      <c r="F12" s="7">
        <f>GETPIVOTDATA("Change Over E2E",Scheduler!$G$6,"From Scheduler Category","Black Finish","To Scheduler Category","Color Dye")</f>
        <v>0</v>
      </c>
      <c r="G12" s="59">
        <f>GETPIVOTDATA("Change Over E2E",Scheduler!$G$6,"From Scheduler Category","Black Finish","To Scheduler Category","Color Coating")</f>
        <v>0</v>
      </c>
      <c r="H12" s="59">
        <f>GETPIVOTDATA("Change Over E2E",Scheduler!$G$6,"From Scheduler Category","Black Finish","To Scheduler Category","Color Finish")</f>
        <v>0</v>
      </c>
      <c r="I12" s="59">
        <f>GETPIVOTDATA("Change Over E2E",Scheduler!$G$6,"From Scheduler Category","Black Finish","To Scheduler Category","Color Skew")</f>
        <v>0</v>
      </c>
      <c r="J12" s="7">
        <f>GETPIVOTDATA("Change Over E2E",Scheduler!$G$6,"From Scheduler Category","Black Finish","To Scheduler Category","Black Dye")</f>
        <v>0</v>
      </c>
      <c r="K12" s="7">
        <f>GETPIVOTDATA("Change Over E2E",Scheduler!$G$6,"From Scheduler Category","Black Finish","To Scheduler Category","Black Coating")</f>
        <v>0</v>
      </c>
      <c r="L12" s="7" t="e">
        <f>GETPIVOTDATA("Change Over E2E",Scheduler!$G$6,"From Scheduler Category","Black Finish","To Scheduler Category","Black Finish")</f>
        <v>#DIV/0!</v>
      </c>
      <c r="M12" s="7">
        <f>GETPIVOTDATA("Change Over E2E",Scheduler!$G$6,"From Scheduler Category","Black Finish","To Scheduler Category","Black Skew")</f>
        <v>0</v>
      </c>
    </row>
    <row r="13" spans="1:18" ht="27" customHeight="1" thickBot="1" x14ac:dyDescent="0.3">
      <c r="A13" s="48" t="s">
        <v>42</v>
      </c>
      <c r="B13" s="8">
        <f>GETPIVOTDATA("Change Over E2E",Scheduler!$G$6,"From Scheduler Category","Black Skew ","To Scheduler Category","White Finish")</f>
        <v>0</v>
      </c>
      <c r="C13" s="7">
        <f>GETPIVOTDATA("Change Over E2E",Scheduler!$G$6,"From Scheduler Category","Black Skew ","To Scheduler Category","White Coating")</f>
        <v>0</v>
      </c>
      <c r="D13" s="7">
        <f>GETPIVOTDATA("Change Over E2E",Scheduler!$G$6,"From Scheduler Category","Black Skew ","To Scheduler Category","White Finish")</f>
        <v>0</v>
      </c>
      <c r="E13" s="7">
        <f>GETPIVOTDATA("Change Over E2E",Scheduler!$G$6,"From Scheduler Category","Black Skew ","To Scheduler Category","White Skew")</f>
        <v>0</v>
      </c>
      <c r="F13" s="7">
        <f>GETPIVOTDATA("Change Over E2E",Scheduler!$G$6,"From Scheduler Category","Black Skew ","To Scheduler Category","Color Dye")</f>
        <v>0</v>
      </c>
      <c r="G13" s="7">
        <f>GETPIVOTDATA("Change Over E2E",Scheduler!$G$6,"From Scheduler Category","Black Skew ","To Scheduler Category","Color Coating")</f>
        <v>0</v>
      </c>
      <c r="H13" s="7">
        <f>GETPIVOTDATA("Change Over E2E",Scheduler!$G$6,"From Scheduler Category","Black Skew ","To Scheduler Category","Color Finish")</f>
        <v>0</v>
      </c>
      <c r="I13" s="7">
        <f>GETPIVOTDATA("Change Over E2E",Scheduler!$G$6,"From Scheduler Category","Black Skew ","To Scheduler Category","Color Skew")</f>
        <v>0</v>
      </c>
      <c r="J13" s="7">
        <f>GETPIVOTDATA("Change Over E2E",Scheduler!$G$6,"From Scheduler Category","Black Skew ","To Scheduler Category","Black Dye")</f>
        <v>0</v>
      </c>
      <c r="K13" s="7">
        <f>GETPIVOTDATA("Change Over E2E",Scheduler!$G$6,"From Scheduler Category","Black Skew ","To Scheduler Category","Black Coating")</f>
        <v>0</v>
      </c>
      <c r="L13" s="7">
        <f>GETPIVOTDATA("Change Over E2E",Scheduler!$G$6,"From Scheduler Category","Black Skew ","To Scheduler Category","Black Finish")</f>
        <v>0</v>
      </c>
      <c r="M13" s="7" t="e">
        <f>GETPIVOTDATA("Change Over E2E",Scheduler!$G$6,"From Scheduler Category","Black Skew ","To Scheduler Category","Black Skew")</f>
        <v>#DIV/0!</v>
      </c>
    </row>
    <row r="23" spans="7:7" x14ac:dyDescent="0.25">
      <c r="G23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_Macro">
                <anchor moveWithCells="1" sizeWithCells="1">
                  <from>
                    <xdr:col>13</xdr:col>
                    <xdr:colOff>523875</xdr:colOff>
                    <xdr:row>1</xdr:row>
                    <xdr:rowOff>152400</xdr:rowOff>
                  </from>
                  <to>
                    <xdr:col>16</xdr:col>
                    <xdr:colOff>333375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N10" sqref="N10"/>
    </sheetView>
  </sheetViews>
  <sheetFormatPr defaultRowHeight="15" x14ac:dyDescent="0.25"/>
  <cols>
    <col min="1" max="1" width="10.7109375" bestFit="1" customWidth="1"/>
    <col min="2" max="12" width="10.5703125" bestFit="1" customWidth="1"/>
  </cols>
  <sheetData>
    <row r="1" spans="1:12" ht="15.75" thickBot="1" x14ac:dyDescent="0.3">
      <c r="A1" s="53">
        <f ca="1">RAND()*100</f>
        <v>94.851730523563432</v>
      </c>
      <c r="B1" s="53">
        <f t="shared" ref="B1:L12" ca="1" si="0">RAND()*100</f>
        <v>80.009464843729702</v>
      </c>
      <c r="C1" s="53">
        <f t="shared" ca="1" si="0"/>
        <v>50.099144146676508</v>
      </c>
      <c r="D1" s="53">
        <f t="shared" ca="1" si="0"/>
        <v>29.443928262961371</v>
      </c>
      <c r="E1" s="53">
        <f t="shared" ca="1" si="0"/>
        <v>16.852873979927164</v>
      </c>
      <c r="F1" s="53">
        <f t="shared" ca="1" si="0"/>
        <v>56.165228712435933</v>
      </c>
      <c r="G1" s="53">
        <f t="shared" ca="1" si="0"/>
        <v>79.690071414712477</v>
      </c>
      <c r="H1" s="53">
        <f t="shared" ca="1" si="0"/>
        <v>0.46144474837477301</v>
      </c>
      <c r="I1" s="53">
        <f t="shared" ca="1" si="0"/>
        <v>22.51978851036468</v>
      </c>
      <c r="J1" s="53">
        <f t="shared" ca="1" si="0"/>
        <v>30.961194810659766</v>
      </c>
      <c r="K1" s="53">
        <f t="shared" ca="1" si="0"/>
        <v>29.314015981355922</v>
      </c>
      <c r="L1" s="53">
        <f t="shared" ca="1" si="0"/>
        <v>74.342379838524138</v>
      </c>
    </row>
    <row r="2" spans="1:12" ht="15.75" thickBot="1" x14ac:dyDescent="0.3">
      <c r="A2" s="53">
        <f t="shared" ref="A2:A12" ca="1" si="1">RAND()*100</f>
        <v>7.099127209404255</v>
      </c>
      <c r="B2" s="53">
        <f t="shared" ca="1" si="0"/>
        <v>44.718619086724502</v>
      </c>
      <c r="C2" s="53">
        <f t="shared" ca="1" si="0"/>
        <v>22.450786316385063</v>
      </c>
      <c r="D2" s="53">
        <f t="shared" ca="1" si="0"/>
        <v>43.442600935944952</v>
      </c>
      <c r="E2" s="53">
        <f t="shared" ca="1" si="0"/>
        <v>26.657199421070221</v>
      </c>
      <c r="F2" s="53">
        <f t="shared" ca="1" si="0"/>
        <v>24.452745632361108</v>
      </c>
      <c r="G2" s="53">
        <f t="shared" ca="1" si="0"/>
        <v>87.060792109439305</v>
      </c>
      <c r="H2" s="53">
        <f t="shared" ca="1" si="0"/>
        <v>94.824125038898956</v>
      </c>
      <c r="I2" s="53">
        <f t="shared" ca="1" si="0"/>
        <v>35.042469022986488</v>
      </c>
      <c r="J2" s="53">
        <f t="shared" ca="1" si="0"/>
        <v>54.180261435416135</v>
      </c>
      <c r="K2" s="53">
        <f t="shared" ca="1" si="0"/>
        <v>24.369575037002488</v>
      </c>
      <c r="L2" s="53">
        <f t="shared" ca="1" si="0"/>
        <v>22.654496405228951</v>
      </c>
    </row>
    <row r="3" spans="1:12" ht="15.75" thickBot="1" x14ac:dyDescent="0.3">
      <c r="A3" s="53">
        <f t="shared" ca="1" si="1"/>
        <v>6.9565401455906617E-2</v>
      </c>
      <c r="B3" s="53">
        <f t="shared" ca="1" si="0"/>
        <v>71.1095253689803</v>
      </c>
      <c r="C3" s="53">
        <f t="shared" ca="1" si="0"/>
        <v>30.361543462797247</v>
      </c>
      <c r="D3" s="53">
        <f t="shared" ca="1" si="0"/>
        <v>83.685310639099526</v>
      </c>
      <c r="E3" s="53">
        <f t="shared" ca="1" si="0"/>
        <v>46.327666548932335</v>
      </c>
      <c r="F3" s="53">
        <f t="shared" ca="1" si="0"/>
        <v>27.988389869607111</v>
      </c>
      <c r="G3" s="53">
        <f t="shared" ca="1" si="0"/>
        <v>87.406427753536761</v>
      </c>
      <c r="H3" s="53">
        <f t="shared" ca="1" si="0"/>
        <v>1.286828593189504</v>
      </c>
      <c r="I3" s="53">
        <f t="shared" ca="1" si="0"/>
        <v>15.115287317820203</v>
      </c>
      <c r="J3" s="53">
        <f t="shared" ca="1" si="0"/>
        <v>42.260048279612327</v>
      </c>
      <c r="K3" s="53">
        <f t="shared" ca="1" si="0"/>
        <v>24.664645400058593</v>
      </c>
      <c r="L3" s="53">
        <f t="shared" ca="1" si="0"/>
        <v>3.9793335777093986</v>
      </c>
    </row>
    <row r="4" spans="1:12" ht="15.75" thickBot="1" x14ac:dyDescent="0.3">
      <c r="A4" s="53">
        <f t="shared" ca="1" si="1"/>
        <v>22.737892668108184</v>
      </c>
      <c r="B4" s="53">
        <f t="shared" ca="1" si="0"/>
        <v>82.476308024794847</v>
      </c>
      <c r="C4" s="53">
        <f t="shared" ca="1" si="0"/>
        <v>57.432101361369213</v>
      </c>
      <c r="D4" s="53">
        <f t="shared" ca="1" si="0"/>
        <v>45.045308630880939</v>
      </c>
      <c r="E4" s="53">
        <f t="shared" ca="1" si="0"/>
        <v>55.33956099448698</v>
      </c>
      <c r="F4" s="53">
        <f t="shared" ca="1" si="0"/>
        <v>28.613409225996335</v>
      </c>
      <c r="G4" s="53">
        <f t="shared" ca="1" si="0"/>
        <v>75.889170737877521</v>
      </c>
      <c r="H4" s="53">
        <f t="shared" ca="1" si="0"/>
        <v>6.2786455284768783</v>
      </c>
      <c r="I4" s="53">
        <f t="shared" ca="1" si="0"/>
        <v>75.528316265859829</v>
      </c>
      <c r="J4" s="53">
        <f t="shared" ca="1" si="0"/>
        <v>56.176296615866995</v>
      </c>
      <c r="K4" s="53">
        <f t="shared" ca="1" si="0"/>
        <v>55.986964636315108</v>
      </c>
      <c r="L4" s="53">
        <f t="shared" ca="1" si="0"/>
        <v>5.7044023820311267</v>
      </c>
    </row>
    <row r="5" spans="1:12" ht="15.75" thickBot="1" x14ac:dyDescent="0.3">
      <c r="A5" s="53">
        <f t="shared" ca="1" si="1"/>
        <v>7.5088309480501492</v>
      </c>
      <c r="B5" s="53">
        <f t="shared" ca="1" si="0"/>
        <v>54.699066945017307</v>
      </c>
      <c r="C5" s="53">
        <f t="shared" ca="1" si="0"/>
        <v>72.869638339713717</v>
      </c>
      <c r="D5" s="53">
        <f t="shared" ca="1" si="0"/>
        <v>46.380369182944811</v>
      </c>
      <c r="E5" s="53">
        <f t="shared" ca="1" si="0"/>
        <v>26.218060429019395</v>
      </c>
      <c r="F5" s="53">
        <f t="shared" ca="1" si="0"/>
        <v>22.532465982710459</v>
      </c>
      <c r="G5" s="53">
        <f t="shared" ca="1" si="0"/>
        <v>43.661233143252467</v>
      </c>
      <c r="H5" s="53">
        <f t="shared" ca="1" si="0"/>
        <v>27.720935715315132</v>
      </c>
      <c r="I5" s="53">
        <f t="shared" ca="1" si="0"/>
        <v>90.542532947132656</v>
      </c>
      <c r="J5" s="53">
        <f t="shared" ca="1" si="0"/>
        <v>28.955752875969775</v>
      </c>
      <c r="K5" s="53">
        <f t="shared" ca="1" si="0"/>
        <v>36.346067078189691</v>
      </c>
      <c r="L5" s="53">
        <f t="shared" ca="1" si="0"/>
        <v>36.891456120506852</v>
      </c>
    </row>
    <row r="6" spans="1:12" ht="15.75" thickBot="1" x14ac:dyDescent="0.3">
      <c r="A6" s="53">
        <f t="shared" ca="1" si="1"/>
        <v>32.059810260879075</v>
      </c>
      <c r="B6" s="53">
        <f t="shared" ca="1" si="0"/>
        <v>58.664162990724456</v>
      </c>
      <c r="C6" s="53">
        <f t="shared" ca="1" si="0"/>
        <v>46.018765405294978</v>
      </c>
      <c r="D6" s="53">
        <f t="shared" ca="1" si="0"/>
        <v>66.509138234141304</v>
      </c>
      <c r="E6" s="53">
        <f t="shared" ca="1" si="0"/>
        <v>30.368693876132934</v>
      </c>
      <c r="F6" s="53">
        <f t="shared" ca="1" si="0"/>
        <v>18.370330997610896</v>
      </c>
      <c r="G6" s="53">
        <f t="shared" ca="1" si="0"/>
        <v>57.966623071181864</v>
      </c>
      <c r="H6" s="53">
        <f t="shared" ca="1" si="0"/>
        <v>74.059715779228839</v>
      </c>
      <c r="I6" s="53">
        <f t="shared" ca="1" si="0"/>
        <v>25.84941026820643</v>
      </c>
      <c r="J6" s="53">
        <f t="shared" ca="1" si="0"/>
        <v>96.905577850081542</v>
      </c>
      <c r="K6" s="53">
        <f t="shared" ca="1" si="0"/>
        <v>90.176773544415411</v>
      </c>
      <c r="L6" s="53">
        <f t="shared" ca="1" si="0"/>
        <v>54.712955042518132</v>
      </c>
    </row>
    <row r="7" spans="1:12" ht="15.75" thickBot="1" x14ac:dyDescent="0.3">
      <c r="A7" s="53">
        <f t="shared" ca="1" si="1"/>
        <v>85.90433171277391</v>
      </c>
      <c r="B7" s="53">
        <f t="shared" ca="1" si="0"/>
        <v>47.439666994321719</v>
      </c>
      <c r="C7" s="53">
        <f t="shared" ca="1" si="0"/>
        <v>69.863077223057289</v>
      </c>
      <c r="D7" s="53">
        <f t="shared" ca="1" si="0"/>
        <v>2.5056024325527337</v>
      </c>
      <c r="E7" s="53">
        <f t="shared" ca="1" si="0"/>
        <v>25.02447412563129</v>
      </c>
      <c r="F7" s="53">
        <f t="shared" ca="1" si="0"/>
        <v>65.456167498055436</v>
      </c>
      <c r="G7" s="53">
        <f t="shared" ca="1" si="0"/>
        <v>55.330207585226333</v>
      </c>
      <c r="H7" s="53">
        <f t="shared" ca="1" si="0"/>
        <v>7.0718709735230973</v>
      </c>
      <c r="I7" s="53">
        <f t="shared" ca="1" si="0"/>
        <v>12.825385652522437</v>
      </c>
      <c r="J7" s="53">
        <f t="shared" ca="1" si="0"/>
        <v>94.523799627445911</v>
      </c>
      <c r="K7" s="53">
        <f t="shared" ca="1" si="0"/>
        <v>79.400791152338286</v>
      </c>
      <c r="L7" s="53">
        <f t="shared" ca="1" si="0"/>
        <v>85.810007540036949</v>
      </c>
    </row>
    <row r="8" spans="1:12" ht="15.75" thickBot="1" x14ac:dyDescent="0.3">
      <c r="A8" s="53">
        <f t="shared" ca="1" si="1"/>
        <v>67.653278915156193</v>
      </c>
      <c r="B8" s="53">
        <f t="shared" ca="1" si="0"/>
        <v>94.569868990657696</v>
      </c>
      <c r="C8" s="53">
        <f t="shared" ca="1" si="0"/>
        <v>38.395694182310571</v>
      </c>
      <c r="D8" s="53">
        <f t="shared" ca="1" si="0"/>
        <v>57.824757615718049</v>
      </c>
      <c r="E8" s="53">
        <f t="shared" ca="1" si="0"/>
        <v>16.159172078273333</v>
      </c>
      <c r="F8" s="53">
        <f t="shared" ca="1" si="0"/>
        <v>5.4855639086035302</v>
      </c>
      <c r="G8" s="53">
        <f t="shared" ca="1" si="0"/>
        <v>31.77911674120789</v>
      </c>
      <c r="H8" s="53">
        <f t="shared" ca="1" si="0"/>
        <v>15.677726018926608</v>
      </c>
      <c r="I8" s="53">
        <f t="shared" ca="1" si="0"/>
        <v>14.064320512789308</v>
      </c>
      <c r="J8" s="53">
        <f t="shared" ca="1" si="0"/>
        <v>58.355565590981243</v>
      </c>
      <c r="K8" s="53">
        <f t="shared" ca="1" si="0"/>
        <v>67.825666788062705</v>
      </c>
      <c r="L8" s="53">
        <f t="shared" ca="1" si="0"/>
        <v>19.899221401731072</v>
      </c>
    </row>
    <row r="9" spans="1:12" ht="15.75" thickBot="1" x14ac:dyDescent="0.3">
      <c r="A9" s="53">
        <f t="shared" ca="1" si="1"/>
        <v>68.383701948050032</v>
      </c>
      <c r="B9" s="53">
        <f t="shared" ca="1" si="0"/>
        <v>27.571842796740476</v>
      </c>
      <c r="C9" s="53">
        <f t="shared" ca="1" si="0"/>
        <v>3.0803619859389397</v>
      </c>
      <c r="D9" s="53">
        <f t="shared" ca="1" si="0"/>
        <v>12.334896831558396</v>
      </c>
      <c r="E9" s="53">
        <f t="shared" ca="1" si="0"/>
        <v>47.249281535369434</v>
      </c>
      <c r="F9" s="53">
        <f t="shared" ca="1" si="0"/>
        <v>21.881419633585196</v>
      </c>
      <c r="G9" s="53">
        <f t="shared" ca="1" si="0"/>
        <v>30.267762662050433</v>
      </c>
      <c r="H9" s="53">
        <f t="shared" ca="1" si="0"/>
        <v>63.469276150517182</v>
      </c>
      <c r="I9" s="53">
        <f t="shared" ca="1" si="0"/>
        <v>54.675879519980889</v>
      </c>
      <c r="J9" s="53">
        <f t="shared" ca="1" si="0"/>
        <v>50.043808127217979</v>
      </c>
      <c r="K9" s="53">
        <f t="shared" ca="1" si="0"/>
        <v>30.584133710723151</v>
      </c>
      <c r="L9" s="53">
        <f t="shared" ca="1" si="0"/>
        <v>3.6610227282226626</v>
      </c>
    </row>
    <row r="10" spans="1:12" ht="15.75" thickBot="1" x14ac:dyDescent="0.3">
      <c r="A10" s="53">
        <f t="shared" ca="1" si="1"/>
        <v>27.206939404726338</v>
      </c>
      <c r="B10" s="53">
        <f t="shared" ca="1" si="0"/>
        <v>99.955193905812763</v>
      </c>
      <c r="C10" s="53">
        <f t="shared" ca="1" si="0"/>
        <v>82.797858144228741</v>
      </c>
      <c r="D10" s="53">
        <f t="shared" ca="1" si="0"/>
        <v>29.603133636251766</v>
      </c>
      <c r="E10" s="53">
        <f t="shared" ca="1" si="0"/>
        <v>25.51066413405254</v>
      </c>
      <c r="F10" s="53">
        <f t="shared" ca="1" si="0"/>
        <v>32.47692874139323</v>
      </c>
      <c r="G10" s="53">
        <f t="shared" ca="1" si="0"/>
        <v>64.768047627952413</v>
      </c>
      <c r="H10" s="53">
        <f t="shared" ca="1" si="0"/>
        <v>9.1005882770369801</v>
      </c>
      <c r="I10" s="53">
        <f t="shared" ca="1" si="0"/>
        <v>78.22434051311248</v>
      </c>
      <c r="J10" s="53">
        <f t="shared" ca="1" si="0"/>
        <v>60.22592409826423</v>
      </c>
      <c r="K10" s="53">
        <f t="shared" ca="1" si="0"/>
        <v>97.370430867673065</v>
      </c>
      <c r="L10" s="53">
        <f t="shared" ca="1" si="0"/>
        <v>46.302448859834243</v>
      </c>
    </row>
    <row r="11" spans="1:12" ht="15.75" thickBot="1" x14ac:dyDescent="0.3">
      <c r="A11" s="53">
        <f t="shared" ca="1" si="1"/>
        <v>2.2602718629636032</v>
      </c>
      <c r="B11" s="53">
        <f t="shared" ca="1" si="0"/>
        <v>45.666138138835443</v>
      </c>
      <c r="C11" s="53">
        <f t="shared" ca="1" si="0"/>
        <v>48.22879344805785</v>
      </c>
      <c r="D11" s="53">
        <f t="shared" ca="1" si="0"/>
        <v>86.56125636935495</v>
      </c>
      <c r="E11" s="53">
        <f t="shared" ca="1" si="0"/>
        <v>70.854953430086738</v>
      </c>
      <c r="F11" s="53">
        <f t="shared" ca="1" si="0"/>
        <v>72.840673544582145</v>
      </c>
      <c r="G11" s="53">
        <f t="shared" ca="1" si="0"/>
        <v>71.214116645503225</v>
      </c>
      <c r="H11" s="53">
        <f t="shared" ca="1" si="0"/>
        <v>78.149760854987946</v>
      </c>
      <c r="I11" s="53">
        <f t="shared" ca="1" si="0"/>
        <v>75.007002410074335</v>
      </c>
      <c r="J11" s="53">
        <f t="shared" ca="1" si="0"/>
        <v>10.231300772823126</v>
      </c>
      <c r="K11" s="53">
        <f t="shared" ca="1" si="0"/>
        <v>8.0594766486806524</v>
      </c>
      <c r="L11" s="53">
        <f t="shared" ca="1" si="0"/>
        <v>93.865890428112237</v>
      </c>
    </row>
    <row r="12" spans="1:12" ht="15.75" thickBot="1" x14ac:dyDescent="0.3">
      <c r="A12" s="53">
        <f t="shared" ca="1" si="1"/>
        <v>78.189354472817527</v>
      </c>
      <c r="B12" s="53">
        <f t="shared" ca="1" si="0"/>
        <v>56.627940336271351</v>
      </c>
      <c r="C12" s="53">
        <f t="shared" ca="1" si="0"/>
        <v>16.868356976068334</v>
      </c>
      <c r="D12" s="53">
        <f t="shared" ca="1" si="0"/>
        <v>34.034737761271714</v>
      </c>
      <c r="E12" s="53">
        <f t="shared" ca="1" si="0"/>
        <v>65.798431286752958</v>
      </c>
      <c r="F12" s="53">
        <f t="shared" ca="1" si="0"/>
        <v>85.309008800345282</v>
      </c>
      <c r="G12" s="53">
        <f t="shared" ca="1" si="0"/>
        <v>92.978977855123361</v>
      </c>
      <c r="H12" s="53">
        <f t="shared" ca="1" si="0"/>
        <v>55.177116106714422</v>
      </c>
      <c r="I12" s="53">
        <f t="shared" ca="1" si="0"/>
        <v>69.807172004542295</v>
      </c>
      <c r="J12" s="53">
        <f t="shared" ca="1" si="0"/>
        <v>32.353291085286941</v>
      </c>
      <c r="K12" s="53">
        <f t="shared" ca="1" si="0"/>
        <v>99.051420368000436</v>
      </c>
      <c r="L12" s="53">
        <f t="shared" ca="1" si="0"/>
        <v>29.794074486175926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tabSelected="1" workbookViewId="0">
      <selection activeCell="C2" sqref="C2"/>
    </sheetView>
  </sheetViews>
  <sheetFormatPr defaultRowHeight="15" x14ac:dyDescent="0.25"/>
  <cols>
    <col min="2" max="2" width="18.85546875" customWidth="1"/>
  </cols>
  <sheetData>
    <row r="1" spans="1:2" x14ac:dyDescent="0.25">
      <c r="A1" s="65">
        <v>1</v>
      </c>
      <c r="B1" s="65" t="s">
        <v>17</v>
      </c>
    </row>
    <row r="2" spans="1:2" x14ac:dyDescent="0.25">
      <c r="A2" s="65">
        <v>2</v>
      </c>
      <c r="B2" s="65" t="s">
        <v>20</v>
      </c>
    </row>
    <row r="3" spans="1:2" x14ac:dyDescent="0.25">
      <c r="A3" s="65">
        <v>3</v>
      </c>
      <c r="B3" s="65" t="s">
        <v>22</v>
      </c>
    </row>
    <row r="4" spans="1:2" x14ac:dyDescent="0.25">
      <c r="A4" s="65">
        <v>4</v>
      </c>
      <c r="B4" s="65" t="s">
        <v>24</v>
      </c>
    </row>
    <row r="5" spans="1:2" x14ac:dyDescent="0.25">
      <c r="A5" s="65">
        <v>5</v>
      </c>
      <c r="B5" s="65" t="s">
        <v>26</v>
      </c>
    </row>
    <row r="6" spans="1:2" x14ac:dyDescent="0.25">
      <c r="A6" s="65">
        <v>6</v>
      </c>
      <c r="B6" s="65" t="s">
        <v>28</v>
      </c>
    </row>
    <row r="7" spans="1:2" x14ac:dyDescent="0.25">
      <c r="A7" s="65">
        <v>7</v>
      </c>
      <c r="B7" s="65" t="s">
        <v>30</v>
      </c>
    </row>
    <row r="8" spans="1:2" x14ac:dyDescent="0.25">
      <c r="A8" s="65">
        <v>8</v>
      </c>
      <c r="B8" s="65" t="s">
        <v>33</v>
      </c>
    </row>
    <row r="9" spans="1:2" x14ac:dyDescent="0.25">
      <c r="A9" s="65">
        <v>9</v>
      </c>
      <c r="B9" s="65" t="s">
        <v>69</v>
      </c>
    </row>
    <row r="10" spans="1:2" x14ac:dyDescent="0.25">
      <c r="A10" s="65">
        <v>10</v>
      </c>
      <c r="B10" s="65" t="s">
        <v>37</v>
      </c>
    </row>
    <row r="11" spans="1:2" x14ac:dyDescent="0.25">
      <c r="A11" s="65">
        <v>11</v>
      </c>
      <c r="B11" s="65" t="s">
        <v>39</v>
      </c>
    </row>
    <row r="12" spans="1:2" x14ac:dyDescent="0.25">
      <c r="A12" s="65">
        <v>12</v>
      </c>
      <c r="B12" s="6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Sheet</vt:lpstr>
      <vt:lpstr>Pivots</vt:lpstr>
      <vt:lpstr>Scheduler</vt:lpstr>
      <vt:lpstr>FromTo Matrix</vt:lpstr>
      <vt:lpstr>Sheet5</vt:lpstr>
      <vt:lpstr>category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e1755064</dc:creator>
  <cp:lastModifiedBy>e1728489</cp:lastModifiedBy>
  <dcterms:created xsi:type="dcterms:W3CDTF">2018-04-16T23:00:51Z</dcterms:created>
  <dcterms:modified xsi:type="dcterms:W3CDTF">2018-04-24T19:41:28Z</dcterms:modified>
</cp:coreProperties>
</file>